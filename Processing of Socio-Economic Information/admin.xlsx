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a9d57e426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ласти" sheetId="1" r:id="R7941ca16b094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name val="Carlito"/>
    </x:font>
    <x:font>
      <x:sz val="11"/>
      <x:color rgb="FF202236"/>
      <x:name val="Arial"/>
    </x:font>
    <x:font>
      <x:b/>
      <x:sz val="11"/>
      <x:color rgb="FFFFFFFF"/>
      <x:name val="Arial"/>
    </x:font>
    <x:font>
      <x:sz val="11"/>
      <x:color rgb="FF5E547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0317D"/>
      </x:patternFill>
    </x:fill>
    <x:fill>
      <x:patternFill patternType="solid">
        <x:fgColor rgb="FFF3EF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be0a4e1834485" /><Relationship Type="http://schemas.openxmlformats.org/officeDocument/2006/relationships/theme" Target="/xl/theme/theme1.xml" Id="R0e47ce14e3a248d6" /><Relationship Type="http://schemas.openxmlformats.org/officeDocument/2006/relationships/sharedStrings" Target="/xl/sharedStrings.xml" Id="R51c70296e25746a2" /><Relationship Type="http://schemas.openxmlformats.org/officeDocument/2006/relationships/worksheet" Target="/xl/worksheets/sheet1.xml" Id="R7941ca16b094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9" hidden="0" customWidth="1"/>
    <x:col min="4" max="4" width="19" hidden="0" customWidth="1"/>
    <x:col min="5" max="5" width="17" hidden="0" customWidth="1"/>
    <x:col min="7" max="7" width="68" hidden="0" customWidth="1"/>
  </x:cols>
  <x:sheetData>
    <x:row r="1" ht="32" customHeight="1">
      <x:c r="A1" s="6" t="str">
        <x:v>Област</x:v>
      </x:c>
      <x:c r="B1" s="6" t="str">
        <x:v>Район</x:v>
      </x:c>
      <x:c r="C1" s="6" t="str">
        <x:v>Площ (кв. км.)</x:v>
      </x:c>
      <x:c r="D1" s="6" t="str">
        <x:v>Население</x:v>
      </x:c>
      <x:c r="E1" s="6" t="str">
        <x:v>Гъстота</x:v>
      </x:c>
      <x:c r="G1" s="12" t="str">
        <x:v>Учебни данни, закръглени за упражненията.</x:v>
      </x:c>
    </x:row>
    <x:row r="2" ht="32" customHeight="1">
      <x:c r="A2" s="7" t="str">
        <x:v>Видин</x:v>
      </x:c>
      <x:c r="B2" s="7" t="str">
        <x:v>Северозападен</x:v>
      </x:c>
      <x:c r="C2" s="8" t="n">
        <x:v>3033</x:v>
      </x:c>
      <x:c r="D2" s="8" t="n">
        <x:v>80000</x:v>
      </x:c>
      <x:c r="E2" s="10" t="n">
        <x:f>D2/C2</x:f>
        <x:v>26.376524892845367</x:v>
      </x:c>
      <x:c r="G2" s="12" t="str">
        <x:v>Население: души. Гъстота: души на кв. км.</x:v>
      </x:c>
    </x:row>
    <x:row r="3" ht="32" customHeight="1">
      <x:c r="A3" s="1" t="str">
        <x:v>Монтана</x:v>
      </x:c>
      <x:c r="B3" s="1" t="str">
        <x:v>Северозападен</x:v>
      </x:c>
      <x:c r="C3" s="9" t="n">
        <x:v>3635</x:v>
      </x:c>
      <x:c r="D3" s="9" t="n">
        <x:v>125000</x:v>
      </x:c>
      <x:c r="E3" s="11" t="n">
        <x:f>D3/C3</x:f>
        <x:v>34.3878954607978</x:v>
      </x:c>
      <x:c r="G3" s="12" t="str">
        <x:v>Основни данни: A1:E29. Включете Data → Filter.</x:v>
      </x:c>
    </x:row>
    <x:row r="4" ht="32" customHeight="1">
      <x:c r="A4" s="7" t="str">
        <x:v>Враца</x:v>
      </x:c>
      <x:c r="B4" s="7" t="str">
        <x:v>Северозападен</x:v>
      </x:c>
      <x:c r="C4" s="8" t="n">
        <x:v>3620</x:v>
      </x:c>
      <x:c r="D4" s="8" t="n">
        <x:v>155000</x:v>
      </x:c>
      <x:c r="E4" s="10" t="n">
        <x:f>D4/C4</x:f>
        <x:v>42.81767955801105</x:v>
      </x:c>
      <x:c r="G4" s="12" t="str">
        <x:v>За Advanced Filter създайте критерии под таблицата.</x:v>
      </x:c>
    </x:row>
    <x:row r="5" ht="32" customHeight="1">
      <x:c r="A5" s="1" t="str">
        <x:v>Плевен</x:v>
      </x:c>
      <x:c r="B5" s="1" t="str">
        <x:v>Северозападен</x:v>
      </x:c>
      <x:c r="C5" s="9" t="n">
        <x:v>4653</x:v>
      </x:c>
      <x:c r="D5" s="9" t="n">
        <x:v>230000</x:v>
      </x:c>
      <x:c r="E5" s="11" t="n">
        <x:f>D5/C5</x:f>
        <x:v>49.43047496238986</x:v>
      </x:c>
      <x:c r="G5" s="12" t="str">
        <x:v>Използвайте точно същите заглавия на колоните.</x:v>
      </x:c>
    </x:row>
    <x:row r="6" ht="23" customHeight="1">
      <x:c r="A6" s="7" t="str">
        <x:v>Ловеч</x:v>
      </x:c>
      <x:c r="B6" s="7" t="str">
        <x:v>Северозападен</x:v>
      </x:c>
      <x:c r="C6" s="8" t="n">
        <x:v>4133</x:v>
      </x:c>
      <x:c r="D6" s="8" t="n">
        <x:v>120000</x:v>
      </x:c>
      <x:c r="E6" s="10" t="n">
        <x:f>D6/C6</x:f>
        <x:v>29.034599564481006</x:v>
      </x:c>
    </x:row>
    <x:row r="7" ht="23" customHeight="1">
      <x:c r="A7" s="1" t="str">
        <x:v>Велико Търново</x:v>
      </x:c>
      <x:c r="B7" s="1" t="str">
        <x:v>Северен централен</x:v>
      </x:c>
      <x:c r="C7" s="9" t="n">
        <x:v>4662</x:v>
      </x:c>
      <x:c r="D7" s="9" t="n">
        <x:v>230000</x:v>
      </x:c>
      <x:c r="E7" s="11" t="n">
        <x:f>D7/C7</x:f>
        <x:v>49.335049335049334</x:v>
      </x:c>
    </x:row>
    <x:row r="8" ht="23" customHeight="1">
      <x:c r="A8" s="7" t="str">
        <x:v>Габрово</x:v>
      </x:c>
      <x:c r="B8" s="7" t="str">
        <x:v>Северен централен</x:v>
      </x:c>
      <x:c r="C8" s="8" t="n">
        <x:v>2023</x:v>
      </x:c>
      <x:c r="D8" s="8" t="n">
        <x:v>100000</x:v>
      </x:c>
      <x:c r="E8" s="10" t="n">
        <x:f>D8/C8</x:f>
        <x:v>49.431537320810676</x:v>
      </x:c>
    </x:row>
    <x:row r="9" ht="23" customHeight="1">
      <x:c r="A9" s="1" t="str">
        <x:v>Русе</x:v>
      </x:c>
      <x:c r="B9" s="1" t="str">
        <x:v>Северен централен</x:v>
      </x:c>
      <x:c r="C9" s="9" t="n">
        <x:v>2803</x:v>
      </x:c>
      <x:c r="D9" s="9" t="n">
        <x:v>200000</x:v>
      </x:c>
      <x:c r="E9" s="11" t="n">
        <x:f>D9/C9</x:f>
        <x:v>71.35212272565109</x:v>
      </x:c>
    </x:row>
    <x:row r="10" ht="23" customHeight="1">
      <x:c r="A10" s="7" t="str">
        <x:v>Разград</x:v>
      </x:c>
      <x:c r="B10" s="7" t="str">
        <x:v>Северен централен</x:v>
      </x:c>
      <x:c r="C10" s="8" t="n">
        <x:v>2639</x:v>
      </x:c>
      <x:c r="D10" s="8" t="n">
        <x:v>110000</x:v>
      </x:c>
      <x:c r="E10" s="10" t="n">
        <x:f>D10/C10</x:f>
        <x:v>41.682455475558925</x:v>
      </x:c>
    </x:row>
    <x:row r="11" ht="23" customHeight="1">
      <x:c r="A11" s="1" t="str">
        <x:v>Силистра</x:v>
      </x:c>
      <x:c r="B11" s="1" t="str">
        <x:v>Северен централен</x:v>
      </x:c>
      <x:c r="C11" s="9" t="n">
        <x:v>2846</x:v>
      </x:c>
      <x:c r="D11" s="9" t="n">
        <x:v>100000</x:v>
      </x:c>
      <x:c r="E11" s="11" t="n">
        <x:f>D11/C11</x:f>
        <x:v>35.137034434293746</x:v>
      </x:c>
    </x:row>
    <x:row r="12" ht="23" customHeight="1">
      <x:c r="A12" s="7" t="str">
        <x:v>Варна</x:v>
      </x:c>
      <x:c r="B12" s="7" t="str">
        <x:v>Североизточен</x:v>
      </x:c>
      <x:c r="C12" s="8" t="n">
        <x:v>3819</x:v>
      </x:c>
      <x:c r="D12" s="8" t="n">
        <x:v>470000</x:v>
      </x:c>
      <x:c r="E12" s="10" t="n">
        <x:f>D12/C12</x:f>
        <x:v>123.0688661953391</x:v>
      </x:c>
    </x:row>
    <x:row r="13" ht="23" customHeight="1">
      <x:c r="A13" s="1" t="str">
        <x:v>Добрич</x:v>
      </x:c>
      <x:c r="B13" s="1" t="str">
        <x:v>Североизточен</x:v>
      </x:c>
      <x:c r="C13" s="9" t="n">
        <x:v>4720</x:v>
      </x:c>
      <x:c r="D13" s="9" t="n">
        <x:v>160000</x:v>
      </x:c>
      <x:c r="E13" s="11" t="n">
        <x:f>D13/C13</x:f>
        <x:v>33.898305084745765</x:v>
      </x:c>
    </x:row>
    <x:row r="14" ht="23" customHeight="1">
      <x:c r="A14" s="7" t="str">
        <x:v>Шумен</x:v>
      </x:c>
      <x:c r="B14" s="7" t="str">
        <x:v>Североизточен</x:v>
      </x:c>
      <x:c r="C14" s="8" t="n">
        <x:v>3390</x:v>
      </x:c>
      <x:c r="D14" s="8" t="n">
        <x:v>170000</x:v>
      </x:c>
      <x:c r="E14" s="10" t="n">
        <x:f>D14/C14</x:f>
        <x:v>50.147492625368734</x:v>
      </x:c>
    </x:row>
    <x:row r="15" ht="23" customHeight="1">
      <x:c r="A15" s="1" t="str">
        <x:v>Търговище</x:v>
      </x:c>
      <x:c r="B15" s="1" t="str">
        <x:v>Североизточен</x:v>
      </x:c>
      <x:c r="C15" s="9" t="n">
        <x:v>2710</x:v>
      </x:c>
      <x:c r="D15" s="9" t="n">
        <x:v>100000</x:v>
      </x:c>
      <x:c r="E15" s="11" t="n">
        <x:f>D15/C15</x:f>
        <x:v>36.90036900369004</x:v>
      </x:c>
    </x:row>
    <x:row r="16" ht="23" customHeight="1">
      <x:c r="A16" s="7" t="str">
        <x:v>Бургас</x:v>
      </x:c>
      <x:c r="B16" s="7" t="str">
        <x:v>Югоизточен</x:v>
      </x:c>
      <x:c r="C16" s="8" t="n">
        <x:v>7748</x:v>
      </x:c>
      <x:c r="D16" s="8" t="n">
        <x:v>400000</x:v>
      </x:c>
      <x:c r="E16" s="10" t="n">
        <x:f>D16/C16</x:f>
        <x:v>51.62622612287042</x:v>
      </x:c>
    </x:row>
    <x:row r="17" ht="23" customHeight="1">
      <x:c r="A17" s="1" t="str">
        <x:v>Сливен</x:v>
      </x:c>
      <x:c r="B17" s="1" t="str">
        <x:v>Югоизточен</x:v>
      </x:c>
      <x:c r="C17" s="9" t="n">
        <x:v>3544</x:v>
      </x:c>
      <x:c r="D17" s="9" t="n">
        <x:v>180000</x:v>
      </x:c>
      <x:c r="E17" s="11" t="n">
        <x:f>D17/C17</x:f>
        <x:v>50.79006772009029</x:v>
      </x:c>
    </x:row>
    <x:row r="18" ht="23" customHeight="1">
      <x:c r="A18" s="7" t="str">
        <x:v>Ямбол</x:v>
      </x:c>
      <x:c r="B18" s="7" t="str">
        <x:v>Югоизточен</x:v>
      </x:c>
      <x:c r="C18" s="8" t="n">
        <x:v>3356</x:v>
      </x:c>
      <x:c r="D18" s="8" t="n">
        <x:v>110000</x:v>
      </x:c>
      <x:c r="E18" s="10" t="n">
        <x:f>D18/C18</x:f>
        <x:v>32.777115613825984</x:v>
      </x:c>
    </x:row>
    <x:row r="19" ht="23" customHeight="1">
      <x:c r="A19" s="1" t="str">
        <x:v>Стара Загора</x:v>
      </x:c>
      <x:c r="B19" s="1" t="str">
        <x:v>Югоизточен</x:v>
      </x:c>
      <x:c r="C19" s="9" t="n">
        <x:v>5151</x:v>
      </x:c>
      <x:c r="D19" s="9" t="n">
        <x:v>300000</x:v>
      </x:c>
      <x:c r="E19" s="11" t="n">
        <x:f>D19/C19</x:f>
        <x:v>58.241118229470004</x:v>
      </x:c>
    </x:row>
    <x:row r="20" ht="23" customHeight="1">
      <x:c r="A20" s="7" t="str">
        <x:v>София (столица)</x:v>
      </x:c>
      <x:c r="B20" s="7" t="str">
        <x:v>Югозападен</x:v>
      </x:c>
      <x:c r="C20" s="8" t="n">
        <x:v>1349</x:v>
      </x:c>
      <x:c r="D20" s="8" t="n">
        <x:v>1300000</x:v>
      </x:c>
      <x:c r="E20" s="10" t="n">
        <x:f>D20/C20</x:f>
        <x:v>963.6767976278725</x:v>
      </x:c>
    </x:row>
    <x:row r="21" ht="23" customHeight="1">
      <x:c r="A21" s="1" t="str">
        <x:v>София</x:v>
      </x:c>
      <x:c r="B21" s="1" t="str">
        <x:v>Югозападен</x:v>
      </x:c>
      <x:c r="C21" s="9" t="n">
        <x:v>7059</x:v>
      </x:c>
      <x:c r="D21" s="9" t="n">
        <x:v>230000</x:v>
      </x:c>
      <x:c r="E21" s="11" t="n">
        <x:f>D21/C21</x:f>
        <x:v>32.582518770364075</x:v>
      </x:c>
    </x:row>
    <x:row r="22" ht="23" customHeight="1">
      <x:c r="A22" s="7" t="str">
        <x:v>Благоевград</x:v>
      </x:c>
      <x:c r="B22" s="7" t="str">
        <x:v>Югозападен</x:v>
      </x:c>
      <x:c r="C22" s="8" t="n">
        <x:v>6449</x:v>
      </x:c>
      <x:c r="D22" s="8" t="n">
        <x:v>300000</x:v>
      </x:c>
      <x:c r="E22" s="10" t="n">
        <x:f>D22/C22</x:f>
        <x:v>46.518840130252755</x:v>
      </x:c>
    </x:row>
    <x:row r="23" ht="23" customHeight="1">
      <x:c r="A23" s="1" t="str">
        <x:v>Перник</x:v>
      </x:c>
      <x:c r="B23" s="1" t="str">
        <x:v>Югозападен</x:v>
      </x:c>
      <x:c r="C23" s="9" t="n">
        <x:v>2394</x:v>
      </x:c>
      <x:c r="D23" s="9" t="n">
        <x:v>120000</x:v>
      </x:c>
      <x:c r="E23" s="11" t="n">
        <x:f>D23/C23</x:f>
        <x:v>50.12531328320802</x:v>
      </x:c>
    </x:row>
    <x:row r="24" ht="23" customHeight="1">
      <x:c r="A24" s="7" t="str">
        <x:v>Кюстендил</x:v>
      </x:c>
      <x:c r="B24" s="7" t="str">
        <x:v>Югозападен</x:v>
      </x:c>
      <x:c r="C24" s="8" t="n">
        <x:v>3052</x:v>
      </x:c>
      <x:c r="D24" s="8" t="n">
        <x:v>120000</x:v>
      </x:c>
      <x:c r="E24" s="10" t="n">
        <x:f>D24/C24</x:f>
        <x:v>39.31847968545216</x:v>
      </x:c>
    </x:row>
    <x:row r="25" ht="23" customHeight="1">
      <x:c r="A25" s="1" t="str">
        <x:v>Пловдив</x:v>
      </x:c>
      <x:c r="B25" s="1" t="str">
        <x:v>Южен централен</x:v>
      </x:c>
      <x:c r="C25" s="9" t="n">
        <x:v>5973</x:v>
      </x:c>
      <x:c r="D25" s="9" t="n">
        <x:v>650000</x:v>
      </x:c>
      <x:c r="E25" s="11" t="n">
        <x:f>D25/C25</x:f>
        <x:v>108.82303699983258</x:v>
      </x:c>
    </x:row>
    <x:row r="26" ht="23" customHeight="1">
      <x:c r="A26" s="7" t="str">
        <x:v>Пазарджик</x:v>
      </x:c>
      <x:c r="B26" s="7" t="str">
        <x:v>Южен централен</x:v>
      </x:c>
      <x:c r="C26" s="8" t="n">
        <x:v>4459</x:v>
      </x:c>
      <x:c r="D26" s="8" t="n">
        <x:v>250000</x:v>
      </x:c>
      <x:c r="E26" s="10" t="n">
        <x:f>D26/C26</x:f>
        <x:v>56.06638259699484</x:v>
      </x:c>
    </x:row>
    <x:row r="27" ht="23" customHeight="1">
      <x:c r="A27" s="1" t="str">
        <x:v>Смолян</x:v>
      </x:c>
      <x:c r="B27" s="1" t="str">
        <x:v>Южен централен</x:v>
      </x:c>
      <x:c r="C27" s="9" t="n">
        <x:v>3193</x:v>
      </x:c>
      <x:c r="D27" s="9" t="n">
        <x:v>100000</x:v>
      </x:c>
      <x:c r="E27" s="11" t="n">
        <x:f>D27/C27</x:f>
        <x:v>31.318509238960225</x:v>
      </x:c>
    </x:row>
    <x:row r="28" ht="23" customHeight="1">
      <x:c r="A28" s="7" t="str">
        <x:v>Хасково</x:v>
      </x:c>
      <x:c r="B28" s="7" t="str">
        <x:v>Южен централен</x:v>
      </x:c>
      <x:c r="C28" s="8" t="n">
        <x:v>5533</x:v>
      </x:c>
      <x:c r="D28" s="8" t="n">
        <x:v>220000</x:v>
      </x:c>
      <x:c r="E28" s="10" t="n">
        <x:f>D28/C28</x:f>
        <x:v>39.761431411530815</x:v>
      </x:c>
    </x:row>
    <x:row r="29" ht="23" customHeight="1">
      <x:c r="A29" s="1" t="str">
        <x:v>Кърджали</x:v>
      </x:c>
      <x:c r="B29" s="1" t="str">
        <x:v>Южен централен</x:v>
      </x:c>
      <x:c r="C29" s="9" t="n">
        <x:v>3209</x:v>
      </x:c>
      <x:c r="D29" s="9" t="n">
        <x:v>150000</x:v>
      </x:c>
      <x:c r="E29" s="11" t="n">
        <x:f>D29/C29</x:f>
        <x:v>46.74353381115613</x:v>
      </x:c>
    </x:row>
  </x:sheetData>
  <x:pageMargins left="0.7" right="0.7" top="0.75" bottom="0.75" header="0.3" footer="0.3"/>
</x:worksheet>
</file>
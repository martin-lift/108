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имери" sheetId="1" r:id="rId1"/>
    <sheet name="Клиенти" sheetId="2" r:id="rId2"/>
    <sheet name="Проверка" sheetId="3" r:id="rId3"/>
  </sheets>
  <definedNames>
    <definedName name="_xlnm._FilterDatabase" localSheetId="0" hidden="1">Примери!$A$1:$E$21</definedName>
    <definedName name="_xlnm.Print_Titles" localSheetId="1">Клиенти!$1:$1</definedName>
    <definedName name="_xlnm.Print_Titles" localSheetId="0">Примери!$1:$1</definedName>
    <definedName name="_xlnm.Print_Titles" localSheetId="2">Проверка!$1:$1</definedName>
  </definedNames>
  <calcPr calcId="124519" fullCalcOnLoad="1"/>
</workbook>
</file>

<file path=xl/sharedStrings.xml><?xml version="1.0" encoding="utf-8"?>
<sst xmlns="http://schemas.openxmlformats.org/spreadsheetml/2006/main" count="149" uniqueCount="128">
  <si>
    <t>Функция</t>
  </si>
  <si>
    <t>Входни данни</t>
  </si>
  <si>
    <t>Формула (текст)</t>
  </si>
  <si>
    <t>Резултат</t>
  </si>
  <si>
    <t>Обяснение</t>
  </si>
  <si>
    <t>LEN</t>
  </si>
  <si>
    <t>София</t>
  </si>
  <si>
    <t>=LEN(B2)</t>
  </si>
  <si>
    <t>Брой символи, включително интервалите.</t>
  </si>
  <si>
    <t>LEFT</t>
  </si>
  <si>
    <t>BG-001</t>
  </si>
  <si>
    <t>=LEFT(B3,2)</t>
  </si>
  <si>
    <t>Първите два символа.</t>
  </si>
  <si>
    <t>RIGHT</t>
  </si>
  <si>
    <t>=RIGHT(B4,3)</t>
  </si>
  <si>
    <t>Последните три символа; водещите нули се запазват.</t>
  </si>
  <si>
    <t>MID</t>
  </si>
  <si>
    <t>=MID(B5,4,3)</t>
  </si>
  <si>
    <t>Три символа, започвайки от позиция 4.</t>
  </si>
  <si>
    <t>UPPER</t>
  </si>
  <si>
    <t>=UPPER(B6)</t>
  </si>
  <si>
    <t>Преобразува в главни букви.</t>
  </si>
  <si>
    <t>LOWER</t>
  </si>
  <si>
    <t>СОФИЯ</t>
  </si>
  <si>
    <t>=LOWER(B7)</t>
  </si>
  <si>
    <t>Преобразува в малки букви.</t>
  </si>
  <si>
    <t>PROPER</t>
  </si>
  <si>
    <t>иван петров</t>
  </si>
  <si>
    <t>=PROPER(B8)</t>
  </si>
  <si>
    <t>Начална главна буква на всяка дума.</t>
  </si>
  <si>
    <t>TRIM</t>
  </si>
  <si>
    <t xml:space="preserve">  Иван   Петров  </t>
  </si>
  <si>
    <t>=TRIM(B9)</t>
  </si>
  <si>
    <t>Почиства излишните обикновени интервали.</t>
  </si>
  <si>
    <t>Съединяване с &amp;</t>
  </si>
  <si>
    <t>Иван</t>
  </si>
  <si>
    <t>=B10&amp;" "&amp;"Петров"</t>
  </si>
  <si>
    <t>Добавя интервал и фамилия.</t>
  </si>
  <si>
    <t>CONCAT</t>
  </si>
  <si>
    <t>=CONCAT(B11," ","Петров")</t>
  </si>
  <si>
    <t>Изисква версия с поддръжка на CONCAT.</t>
  </si>
  <si>
    <t>TEXTJOIN</t>
  </si>
  <si>
    <t>=TEXTJOIN(", ",TRUE,B12,"","България")</t>
  </si>
  <si>
    <t>Пропуска празните стойности; изисква поддръжка на TEXTJOIN.</t>
  </si>
  <si>
    <t>SUBSTITUTE</t>
  </si>
  <si>
    <t>=SUBSTITUTE(B13,"BG","EU")</t>
  </si>
  <si>
    <t>Заменя съвпадащ текст.</t>
  </si>
  <si>
    <t>REPLACE</t>
  </si>
  <si>
    <t>=REPLACE(B14,4,3,"025")</t>
  </si>
  <si>
    <t>Заменя по позиция и брой символи.</t>
  </si>
  <si>
    <t>FIND</t>
  </si>
  <si>
    <t>=FIND("-",B15)</t>
  </si>
  <si>
    <t>Позиция на тирето; броенето започва от 1.</t>
  </si>
  <si>
    <t>SEARCH</t>
  </si>
  <si>
    <t>=SEARCH("bg",B16)</t>
  </si>
  <si>
    <t>Не различава главни и малки букви.</t>
  </si>
  <si>
    <t>IFERROR + FIND</t>
  </si>
  <si>
    <t>=IFERROR(FIND("bg",B17),"Не е намерено")</t>
  </si>
  <si>
    <t>FIND различава главни и малки букви.</t>
  </si>
  <si>
    <t>VALUE</t>
  </si>
  <si>
    <t>125</t>
  </si>
  <si>
    <t>=VALUE(B18)</t>
  </si>
  <si>
    <t>Преобразува числов текст в число.</t>
  </si>
  <si>
    <t>TEXT</t>
  </si>
  <si>
    <t>=TEXT(B19,"000")</t>
  </si>
  <si>
    <t>Преобразува число в текст с водещи нули.</t>
  </si>
  <si>
    <t>CLEAN</t>
  </si>
  <si>
    <t>Иван
Петров</t>
  </si>
  <si>
    <t>=CLEAN(B20)</t>
  </si>
  <si>
    <t>Премахва контролния знак за нов ред; не добавя интервал.</t>
  </si>
  <si>
    <t>PROPER + TRIM</t>
  </si>
  <si>
    <t xml:space="preserve">  мария   иванова  </t>
  </si>
  <si>
    <t>=PROPER(TRIM(B21))</t>
  </si>
  <si>
    <t>Комбиниране на функции.</t>
  </si>
  <si>
    <t>Име</t>
  </si>
  <si>
    <t>Фамилия</t>
  </si>
  <si>
    <t>Код</t>
  </si>
  <si>
    <t>Пълно име</t>
  </si>
  <si>
    <t>Код – главни букви</t>
  </si>
  <si>
    <t>Префикс</t>
  </si>
  <si>
    <t>Номер</t>
  </si>
  <si>
    <t>Етикет</t>
  </si>
  <si>
    <t>Дължина на кода</t>
  </si>
  <si>
    <t>Код с EU</t>
  </si>
  <si>
    <t xml:space="preserve">  иван  </t>
  </si>
  <si>
    <t xml:space="preserve">  петров  </t>
  </si>
  <si>
    <t>bg-001</t>
  </si>
  <si>
    <t xml:space="preserve">  мария  </t>
  </si>
  <si>
    <t xml:space="preserve">  иванова  </t>
  </si>
  <si>
    <t>bg-025</t>
  </si>
  <si>
    <t>георги</t>
  </si>
  <si>
    <t>димитров</t>
  </si>
  <si>
    <t>eu-103</t>
  </si>
  <si>
    <t xml:space="preserve">  елена  </t>
  </si>
  <si>
    <t xml:space="preserve">  стоянова  </t>
  </si>
  <si>
    <t xml:space="preserve"> bg-007 </t>
  </si>
  <si>
    <t>николай</t>
  </si>
  <si>
    <t xml:space="preserve">  георгиев  </t>
  </si>
  <si>
    <t>eu-042</t>
  </si>
  <si>
    <t>Попълнете D2:J6 с формули според урока. Сините клетки са входни данни.</t>
  </si>
  <si>
    <t>Номер (текст)</t>
  </si>
  <si>
    <t>Дължина</t>
  </si>
  <si>
    <t>Иван Петров</t>
  </si>
  <si>
    <t>BG</t>
  </si>
  <si>
    <t>001</t>
  </si>
  <si>
    <t>Иван Петров – BG-001</t>
  </si>
  <si>
    <t>EU-001</t>
  </si>
  <si>
    <t>Мария Иванова</t>
  </si>
  <si>
    <t>BG-025</t>
  </si>
  <si>
    <t>025</t>
  </si>
  <si>
    <t>Мария Иванова – BG-025</t>
  </si>
  <si>
    <t>EU-025</t>
  </si>
  <si>
    <t>Георги Димитров</t>
  </si>
  <si>
    <t>EU-103</t>
  </si>
  <si>
    <t>EU</t>
  </si>
  <si>
    <t>103</t>
  </si>
  <si>
    <t>Георги Димитров – EU-103</t>
  </si>
  <si>
    <t>Елена Стоянова</t>
  </si>
  <si>
    <t>BG-007</t>
  </si>
  <si>
    <t>007</t>
  </si>
  <si>
    <t>Елена Стоянова – BG-007</t>
  </si>
  <si>
    <t>EU-007</t>
  </si>
  <si>
    <t>Николай Георгиев</t>
  </si>
  <si>
    <t>EU-042</t>
  </si>
  <si>
    <t>042</t>
  </si>
  <si>
    <t>Николай Георгиев – EU-042</t>
  </si>
  <si>
    <t>Проверете резултатите след изпълнение. Не копирайте стойности вместо формули.</t>
  </si>
  <si>
    <t>В колоната „Номер“ водещите нули трябва да се запазят: 001, 025, 103, 007, 042.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</si>
</sst>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B73"/>
        <bgColor indexed="64"/>
      </patternFill>
    </fill>
    <fill>
      <patternFill patternType="solid">
        <fgColor rgb="FFEAF3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43.7109375" customWidth="1"/>
    <col min="4" max="4" width="30.7109375" customWidth="1"/>
    <col min="5" max="5" width="62.710937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>
        <f>LEN(B2)</f>
        <v>5</v>
      </c>
      <c r="E2" t="s">
        <v>8</v>
      </c>
    </row>
    <row r="3" spans="1:5">
      <c r="A3" t="s">
        <v>9</v>
      </c>
      <c r="B3" s="2" t="s">
        <v>10</v>
      </c>
      <c r="C3" t="s">
        <v>11</v>
      </c>
      <c r="D3" t="str">
        <f>LEFT(B3,2)</f>
        <v>BG</v>
      </c>
      <c r="E3" t="s">
        <v>12</v>
      </c>
    </row>
    <row r="4" spans="1:5">
      <c r="A4" t="s">
        <v>13</v>
      </c>
      <c r="B4" s="2" t="s">
        <v>10</v>
      </c>
      <c r="C4" t="s">
        <v>14</v>
      </c>
      <c r="D4" t="str">
        <f>RIGHT(B4,3)</f>
        <v>001</v>
      </c>
      <c r="E4" t="s">
        <v>15</v>
      </c>
    </row>
    <row r="5" spans="1:5">
      <c r="A5" t="s">
        <v>16</v>
      </c>
      <c r="B5" s="2" t="s">
        <v>10</v>
      </c>
      <c r="C5" t="s">
        <v>17</v>
      </c>
      <c r="D5" t="str">
        <f>MID(B5,4,3)</f>
        <v>001</v>
      </c>
      <c r="E5" t="s">
        <v>18</v>
      </c>
    </row>
    <row r="6" spans="1:5">
      <c r="A6" t="s">
        <v>19</v>
      </c>
      <c r="B6" s="2" t="s">
        <v>6</v>
      </c>
      <c r="C6" t="s">
        <v>20</v>
      </c>
      <c r="D6" t="str">
        <f>UPPER(B6)</f>
        <v>СОФИЯ</v>
      </c>
      <c r="E6" t="s">
        <v>21</v>
      </c>
    </row>
    <row r="7" spans="1:5">
      <c r="A7" t="s">
        <v>22</v>
      </c>
      <c r="B7" s="2" t="s">
        <v>23</v>
      </c>
      <c r="C7" t="s">
        <v>24</v>
      </c>
      <c r="D7" t="str">
        <f>LOWER(B7)</f>
        <v>софия</v>
      </c>
      <c r="E7" t="s">
        <v>25</v>
      </c>
    </row>
    <row r="8" spans="1:5">
      <c r="A8" t="s">
        <v>26</v>
      </c>
      <c r="B8" s="2" t="s">
        <v>27</v>
      </c>
      <c r="C8" t="s">
        <v>28</v>
      </c>
      <c r="D8" t="str">
        <f>PROPER(B8)</f>
        <v>Иван Петров</v>
      </c>
      <c r="E8" t="s">
        <v>29</v>
      </c>
    </row>
    <row r="9" spans="1:5">
      <c r="A9" t="s">
        <v>30</v>
      </c>
      <c r="B9" s="2" t="s">
        <v>31</v>
      </c>
      <c r="C9" t="s">
        <v>32</v>
      </c>
      <c r="D9" t="str">
        <f>TRIM(B9)</f>
        <v>Иван Петров</v>
      </c>
      <c r="E9" t="s">
        <v>33</v>
      </c>
    </row>
    <row r="10" spans="1:5">
      <c r="A10" t="s">
        <v>34</v>
      </c>
      <c r="B10" s="2" t="s">
        <v>35</v>
      </c>
      <c r="C10" t="s">
        <v>36</v>
      </c>
      <c r="D10" t="str">
        <f>B10&amp;" "&amp;"Петров"</f>
        <v>Иван Петров</v>
      </c>
      <c r="E10" t="s">
        <v>37</v>
      </c>
    </row>
    <row r="11" spans="1:5">
      <c r="A11" t="s">
        <v>38</v>
      </c>
      <c r="B11" s="2" t="s">
        <v>35</v>
      </c>
      <c r="C11" t="s">
        <v>39</v>
      </c>
      <c r="D11" t="str">
        <f>CONCAT(B11," ","Петров")</f>
        <v>Иван Петров</v>
      </c>
      <c r="E11" t="s">
        <v>40</v>
      </c>
    </row>
    <row r="12" spans="1:5">
      <c r="A12" t="s">
        <v>41</v>
      </c>
      <c r="B12" s="2" t="s">
        <v>6</v>
      </c>
      <c r="C12" t="s">
        <v>42</v>
      </c>
      <c r="D12" t="str">
        <f>TEXTJOIN(", ",TRUE,B12,"","България")</f>
        <v>София, България</v>
      </c>
      <c r="E12" t="s">
        <v>43</v>
      </c>
    </row>
    <row r="13" spans="1:5">
      <c r="A13" t="s">
        <v>44</v>
      </c>
      <c r="B13" s="2" t="s">
        <v>10</v>
      </c>
      <c r="C13" t="s">
        <v>45</v>
      </c>
      <c r="D13" t="str">
        <f>SUBSTITUTE(B13,"BG","EU")</f>
        <v>EU-001</v>
      </c>
      <c r="E13" t="s">
        <v>46</v>
      </c>
    </row>
    <row r="14" spans="1:5">
      <c r="A14" t="s">
        <v>47</v>
      </c>
      <c r="B14" s="2" t="s">
        <v>10</v>
      </c>
      <c r="C14" t="s">
        <v>48</v>
      </c>
      <c r="D14" t="str">
        <f>REPLACE(B14,4,3,"025")</f>
        <v>BG-025</v>
      </c>
      <c r="E14" t="s">
        <v>49</v>
      </c>
    </row>
    <row r="15" spans="1:5">
      <c r="A15" t="s">
        <v>50</v>
      </c>
      <c r="B15" s="2" t="s">
        <v>10</v>
      </c>
      <c r="C15" t="s">
        <v>51</v>
      </c>
      <c r="D15">
        <f>FIND("-",B15)</f>
        <v>3</v>
      </c>
      <c r="E15" t="s">
        <v>52</v>
      </c>
    </row>
    <row r="16" spans="1:5">
      <c r="A16" t="s">
        <v>53</v>
      </c>
      <c r="B16" s="2" t="s">
        <v>10</v>
      </c>
      <c r="C16" t="s">
        <v>54</v>
      </c>
      <c r="D16">
        <f>SEARCH("bg",B16)</f>
        <v>1</v>
      </c>
      <c r="E16" t="s">
        <v>55</v>
      </c>
    </row>
    <row r="17" spans="1:5">
      <c r="A17" t="s">
        <v>56</v>
      </c>
      <c r="B17" s="2" t="s">
        <v>10</v>
      </c>
      <c r="C17" t="s">
        <v>57</v>
      </c>
      <c r="D17" t="str">
        <f>IFERROR(FIND("bg",B17),"Не е намерено")</f>
        <v>Не е намерено</v>
      </c>
      <c r="E17" t="s">
        <v>58</v>
      </c>
    </row>
    <row r="18" spans="1:5">
      <c r="A18" t="s">
        <v>59</v>
      </c>
      <c r="B18" s="2" t="s">
        <v>60</v>
      </c>
      <c r="C18" t="s">
        <v>61</v>
      </c>
      <c r="D18">
        <f>VALUE(B18)</f>
        <v>125</v>
      </c>
      <c r="E18" t="s">
        <v>62</v>
      </c>
    </row>
    <row r="19" spans="1:5">
      <c r="A19" t="s">
        <v>63</v>
      </c>
      <c r="B19" s="2">
        <v>7</v>
      </c>
      <c r="C19" t="s">
        <v>64</v>
      </c>
      <c r="D19" t="str">
        <f>TEXT(B19,"000")</f>
        <v>007</v>
      </c>
      <c r="E19" t="s">
        <v>65</v>
      </c>
    </row>
    <row r="20" spans="1:5">
      <c r="A20" t="s">
        <v>66</v>
      </c>
      <c r="B20" s="2" t="s">
        <v>67</v>
      </c>
      <c r="C20" t="s">
        <v>68</v>
      </c>
      <c r="D20" t="str">
        <f>CLEAN(B20)</f>
        <v>ИванПетров</v>
      </c>
      <c r="E20" t="s">
        <v>69</v>
      </c>
    </row>
    <row r="21" spans="1:5">
      <c r="A21" t="s">
        <v>70</v>
      </c>
      <c r="B21" s="2" t="s">
        <v>71</v>
      </c>
      <c r="C21" t="s">
        <v>72</v>
      </c>
      <c r="D21" t="str">
        <f>PROPER(TRIM(B21))</f>
        <v>Мария Иванова</v>
      </c>
      <c r="E21" t="s">
        <v>73</v>
      </c>
    </row>
  </sheetData>
  <autoFilter ref="A1:E21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18.7109375" customWidth="1"/>
    <col min="4" max="4" width="28.7109375" customWidth="1"/>
    <col min="5" max="5" width="25.7109375" customWidth="1"/>
    <col min="6" max="7" width="15.7109375" customWidth="1"/>
    <col min="8" max="8" width="42.7109375" customWidth="1"/>
    <col min="9" max="9" width="23.7109375" customWidth="1"/>
    <col min="10" max="10" width="20.7109375" customWidth="1"/>
  </cols>
  <sheetData>
    <row r="1" spans="1:10" ht="36" customHeight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spans="1:10">
      <c r="A2" s="2" t="s">
        <v>84</v>
      </c>
      <c r="B2" s="2" t="s">
        <v>85</v>
      </c>
      <c r="C2" s="2" t="s">
        <v>86</v>
      </c>
    </row>
    <row r="3" spans="1:10">
      <c r="A3" s="2" t="s">
        <v>87</v>
      </c>
      <c r="B3" s="2" t="s">
        <v>88</v>
      </c>
      <c r="C3" s="2" t="s">
        <v>89</v>
      </c>
    </row>
    <row r="4" spans="1:10">
      <c r="A4" s="2" t="s">
        <v>90</v>
      </c>
      <c r="B4" s="2" t="s">
        <v>91</v>
      </c>
      <c r="C4" s="2" t="s">
        <v>92</v>
      </c>
    </row>
    <row r="5" spans="1:10">
      <c r="A5" s="2" t="s">
        <v>93</v>
      </c>
      <c r="B5" s="2" t="s">
        <v>94</v>
      </c>
      <c r="C5" s="2" t="s">
        <v>95</v>
      </c>
    </row>
    <row r="6" spans="1:10">
      <c r="A6" s="2" t="s">
        <v>96</v>
      </c>
      <c r="B6" s="2" t="s">
        <v>97</v>
      </c>
      <c r="C6" s="2" t="s">
        <v>98</v>
      </c>
    </row>
    <row r="8" spans="1:10">
      <c r="A8" t="s">
        <v>99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5.7109375" customWidth="1"/>
    <col min="4" max="4" width="20.7109375" customWidth="1"/>
    <col min="5" max="5" width="42.7109375" customWidth="1"/>
    <col min="6" max="6" width="16.7109375" customWidth="1"/>
    <col min="7" max="7" width="18.7109375" customWidth="1"/>
  </cols>
  <sheetData>
    <row r="1" spans="1:7" ht="36" customHeight="1">
      <c r="A1" s="1" t="s">
        <v>77</v>
      </c>
      <c r="B1" s="1" t="s">
        <v>76</v>
      </c>
      <c r="C1" s="1" t="s">
        <v>79</v>
      </c>
      <c r="D1" s="1" t="s">
        <v>100</v>
      </c>
      <c r="E1" s="1" t="s">
        <v>81</v>
      </c>
      <c r="F1" s="1" t="s">
        <v>101</v>
      </c>
      <c r="G1" s="1" t="s">
        <v>83</v>
      </c>
    </row>
    <row r="2" spans="1:7">
      <c r="A2" t="s">
        <v>102</v>
      </c>
      <c r="B2" t="s">
        <v>10</v>
      </c>
      <c r="C2" t="s">
        <v>103</v>
      </c>
      <c r="D2" t="s">
        <v>104</v>
      </c>
      <c r="E2" t="s">
        <v>105</v>
      </c>
      <c r="F2">
        <v>6</v>
      </c>
      <c r="G2" t="s">
        <v>106</v>
      </c>
    </row>
    <row r="3" spans="1:7">
      <c r="A3" t="s">
        <v>107</v>
      </c>
      <c r="B3" t="s">
        <v>108</v>
      </c>
      <c r="C3" t="s">
        <v>103</v>
      </c>
      <c r="D3" t="s">
        <v>109</v>
      </c>
      <c r="E3" t="s">
        <v>110</v>
      </c>
      <c r="F3">
        <v>6</v>
      </c>
      <c r="G3" t="s">
        <v>111</v>
      </c>
    </row>
    <row r="4" spans="1:7">
      <c r="A4" t="s">
        <v>112</v>
      </c>
      <c r="B4" t="s">
        <v>113</v>
      </c>
      <c r="C4" t="s">
        <v>114</v>
      </c>
      <c r="D4" t="s">
        <v>115</v>
      </c>
      <c r="E4" t="s">
        <v>116</v>
      </c>
      <c r="F4">
        <v>6</v>
      </c>
      <c r="G4" t="s">
        <v>113</v>
      </c>
    </row>
    <row r="5" spans="1:7">
      <c r="A5" t="s">
        <v>117</v>
      </c>
      <c r="B5" t="s">
        <v>118</v>
      </c>
      <c r="C5" t="s">
        <v>103</v>
      </c>
      <c r="D5" t="s">
        <v>119</v>
      </c>
      <c r="E5" t="s">
        <v>120</v>
      </c>
      <c r="F5">
        <v>6</v>
      </c>
      <c r="G5" t="s">
        <v>121</v>
      </c>
    </row>
    <row r="6" spans="1:7">
      <c r="A6" t="s">
        <v>122</v>
      </c>
      <c r="B6" t="s">
        <v>123</v>
      </c>
      <c r="C6" t="s">
        <v>114</v>
      </c>
      <c r="D6" t="s">
        <v>124</v>
      </c>
      <c r="E6" t="s">
        <v>125</v>
      </c>
      <c r="F6">
        <v>6</v>
      </c>
      <c r="G6" t="s">
        <v>123</v>
      </c>
    </row>
    <row r="8" spans="1:7">
      <c r="A8" t="s">
        <v>126</v>
      </c>
    </row>
    <row r="9" spans="1:7">
      <c r="A9" t="s">
        <v>127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Примери</vt:lpstr>
      <vt:lpstr>Клиенти</vt:lpstr>
      <vt:lpstr>Проверка</vt:lpstr>
      <vt:lpstr>Клиенти!Print_Titles</vt:lpstr>
      <vt:lpstr>Примери!Print_Titles</vt:lpstr>
      <vt:lpstr>Проверка!Print_Titles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2026-10-06T06:36:32Z</dcterms:created>
  <dcterms:modified xsi:type="dcterms:W3CDTF">2026-10-06T06:36:32Z</dcterms:modified>
</cp:coreProperties>
</file>
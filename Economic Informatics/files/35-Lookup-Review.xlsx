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45123c70a244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876a8555c55544ad"/>
    <x:sheet xmlns:r="http://schemas.openxmlformats.org/officeDocument/2006/relationships" name="Справочници" sheetId="2" r:id="Rf3f050ea4520450b"/>
    <x:sheet xmlns:r="http://schemas.openxmlformats.org/officeDocument/2006/relationships" name="Примери" sheetId="3" r:id="R7280f0177c2249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342f75a1844948" /><Relationship Type="http://schemas.openxmlformats.org/officeDocument/2006/relationships/theme" Target="/xl/theme/theme1.xml" Id="R0993050636884517" /><Relationship Type="http://schemas.openxmlformats.org/officeDocument/2006/relationships/sharedStrings" Target="/xl/sharedStrings.xml" Id="Ra54f2f4346284933" /><Relationship Type="http://schemas.openxmlformats.org/officeDocument/2006/relationships/worksheet" Target="/xl/worksheets/sheet1.xml" Id="R876a8555c55544ad" /><Relationship Type="http://schemas.openxmlformats.org/officeDocument/2006/relationships/worksheet" Target="/xl/worksheets/sheet2.xml" Id="Rf3f050ea4520450b" /><Relationship Type="http://schemas.openxmlformats.org/officeDocument/2006/relationships/worksheet" Target="/xl/worksheets/sheet3.xml" Id="R7280f0177c2249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/>
      <x:c r="G2" s="9"/>
      <x:c r="H2" s="11" t="n">
        <x:v>5</x:v>
      </x:c>
      <x:c r="I2" s="12"/>
      <x:c r="J2" s="12" t="str">
        <x:v>Платена</x:v>
      </x:c>
      <x:c r="K2" s="13"/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/>
      <x:c r="G3" s="9"/>
      <x:c r="H3" s="11" t="n">
        <x:v>20</x:v>
      </x:c>
      <x:c r="I3" s="12"/>
      <x:c r="J3" s="12" t="str">
        <x:v>Нова</x:v>
      </x:c>
      <x:c r="K3" s="13"/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/>
      <x:c r="G4" s="9"/>
      <x:c r="H4" s="11" t="n">
        <x:v>12</x:v>
      </x:c>
      <x:c r="I4" s="12"/>
      <x:c r="J4" s="12" t="str">
        <x:v>Отказана</x:v>
      </x:c>
      <x:c r="K4" s="13"/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/>
      <x:c r="G5" s="9"/>
      <x:c r="H5" s="11" t="n">
        <x:v>8</x:v>
      </x:c>
      <x:c r="I5" s="12"/>
      <x:c r="J5" s="12" t="str">
        <x:v>Изпратена</x:v>
      </x:c>
      <x:c r="K5" s="13"/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/>
      <x:c r="G6" s="9"/>
      <x:c r="H6" s="11" t="n">
        <x:v>10</x:v>
      </x:c>
      <x:c r="I6" s="12"/>
      <x:c r="J6" s="12" t="str">
        <x:v>Платена</x:v>
      </x:c>
      <x:c r="K6" s="13"/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/>
      <x:c r="G7" s="9"/>
      <x:c r="H7" s="11" t="n">
        <x:v>15</x:v>
      </x:c>
      <x:c r="I7" s="12"/>
      <x:c r="J7" s="12" t="str">
        <x:v>Отказана</x:v>
      </x:c>
      <x:c r="K7" s="13"/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/>
      <x:c r="G8" s="9"/>
      <x:c r="H8" s="11" t="n">
        <x:v>30</x:v>
      </x:c>
      <x:c r="I8" s="12"/>
      <x:c r="J8" s="12" t="str">
        <x:v>Изпратена</x:v>
      </x:c>
      <x:c r="K8" s="13"/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/>
      <x:c r="G9" s="9"/>
      <x:c r="H9" s="11" t="n">
        <x:v>4</x:v>
      </x:c>
      <x:c r="I9" s="12"/>
      <x:c r="J9" s="12" t="str">
        <x:v>Платена</x:v>
      </x:c>
      <x:c r="K9" s="13"/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/>
      <x:c r="G10" s="9"/>
      <x:c r="H10" s="11" t="n">
        <x:v>18</x:v>
      </x:c>
      <x:c r="I10" s="12"/>
      <x:c r="J10" s="12" t="str">
        <x:v>Нова</x:v>
      </x:c>
      <x:c r="K10" s="13"/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/>
      <x:c r="G11" s="9"/>
      <x:c r="H11" s="11" t="n">
        <x:v>25</x:v>
      </x:c>
      <x:c r="I11" s="12"/>
      <x:c r="J11" s="12" t="str">
        <x:v>Отказана</x:v>
      </x:c>
      <x:c r="K11" s="13"/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/>
      <x:c r="G12" s="9"/>
      <x:c r="H12" s="11" t="n">
        <x:v>6</x:v>
      </x:c>
      <x:c r="I12" s="12"/>
      <x:c r="J12" s="12" t="str">
        <x:v>Платена</x:v>
      </x:c>
      <x:c r="K12" s="13"/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/>
      <x:c r="G13" s="9"/>
      <x:c r="H13" s="11" t="n">
        <x:v>12</x:v>
      </x:c>
      <x:c r="I13" s="12"/>
      <x:c r="J13" s="12" t="str">
        <x:v>Нова</x:v>
      </x:c>
      <x:c r="K13" s="13"/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/>
      <x:c r="G14" s="9"/>
      <x:c r="H14" s="11" t="n">
        <x:v>40</x:v>
      </x:c>
      <x:c r="I14" s="12"/>
      <x:c r="J14" s="12" t="str">
        <x:v>Отказана</x:v>
      </x:c>
      <x:c r="K14" s="13"/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/>
      <x:c r="G15" s="9"/>
      <x:c r="H15" s="11" t="n">
        <x:v>9</x:v>
      </x:c>
      <x:c r="I15" s="12"/>
      <x:c r="J15" s="12" t="str">
        <x:v>Изпратена</x:v>
      </x:c>
      <x:c r="K15" s="13"/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/>
      <x:c r="G16" s="9"/>
      <x:c r="H16" s="11" t="n">
        <x:v>16</x:v>
      </x:c>
      <x:c r="I16" s="12"/>
      <x:c r="J16" s="12" t="str">
        <x:v>Платена</x:v>
      </x:c>
      <x:c r="K16" s="13"/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/>
      <x:c r="G17" s="9"/>
      <x:c r="H17" s="11" t="n">
        <x:v>8</x:v>
      </x:c>
      <x:c r="I17" s="12"/>
      <x:c r="J17" s="12" t="str">
        <x:v>Отказана</x:v>
      </x:c>
      <x:c r="K17" s="13"/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/>
      <x:c r="G18" s="9"/>
      <x:c r="H18" s="11" t="n">
        <x:v>22</x:v>
      </x:c>
      <x:c r="I18" s="12"/>
      <x:c r="J18" s="12" t="str">
        <x:v>Изпратена</x:v>
      </x:c>
      <x:c r="K18" s="13"/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/>
      <x:c r="G19" s="9"/>
      <x:c r="H19" s="11" t="n">
        <x:v>3</x:v>
      </x:c>
      <x:c r="I19" s="12"/>
      <x:c r="J19" s="12" t="str">
        <x:v>Платена</x:v>
      </x:c>
      <x:c r="K19" s="13"/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/>
      <x:c r="G20" s="9"/>
      <x:c r="H20" s="11" t="n">
        <x:v>10</x:v>
      </x:c>
      <x:c r="I20" s="12"/>
      <x:c r="J20" s="12" t="str">
        <x:v>Нова</x:v>
      </x:c>
      <x:c r="K20" s="13"/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/>
      <x:c r="G21" s="9"/>
      <x:c r="H21" s="11" t="n">
        <x:v>14</x:v>
      </x:c>
      <x:c r="I21" s="12"/>
      <x:c r="J21" s="12" t="str">
        <x:v>Отказана</x:v>
      </x:c>
      <x:c r="K21" s="13"/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/>
      <x:c r="G22" s="9"/>
      <x:c r="H22" s="11" t="n">
        <x:v>35</x:v>
      </x:c>
      <x:c r="I22" s="12"/>
      <x:c r="J22" s="12" t="str">
        <x:v>Платена</x:v>
      </x:c>
      <x:c r="K22" s="13"/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/>
      <x:c r="G23" s="9"/>
      <x:c r="H23" s="11" t="n">
        <x:v>6</x:v>
      </x:c>
      <x:c r="I23" s="12"/>
      <x:c r="J23" s="12" t="str">
        <x:v>Нова</x:v>
      </x:c>
      <x:c r="K23" s="13"/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/>
      <x:c r="G24" s="9"/>
      <x:c r="H24" s="11" t="n">
        <x:v>24</x:v>
      </x:c>
      <x:c r="I24" s="12"/>
      <x:c r="J24" s="12" t="str">
        <x:v>Отказана</x:v>
      </x:c>
      <x:c r="K24" s="13"/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/>
      <x:c r="G25" s="9"/>
      <x:c r="H25" s="11" t="n">
        <x:v>11</x:v>
      </x:c>
      <x:c r="I25" s="12"/>
      <x:c r="J25" s="12" t="str">
        <x:v>Изпратена</x:v>
      </x:c>
      <x:c r="K25" s="13"/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Брой платени</x:v>
      </x:c>
      <x:c r="B2" s="2" t="str">
        <x:v>=COUNTIF(Продажби!J2:J25,"Платена")</x:v>
      </x:c>
      <x:c r="C2" s="2" t="n">
        <x:f>COUNTIF(Продажби!J2:J25,"Платена")</x:f>
        <x:v>7</x:v>
      </x:c>
    </x:row>
  </x:sheetData>
  <x:pageMargins left="0.7" right="0.7" top="0.75" bottom="0.75" header="0.3" footer="0.3"/>
</x:worksheet>
</file>
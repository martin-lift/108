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5b0c3567f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78397d741cfb4370"/>
    <x:sheet xmlns:r="http://schemas.openxmlformats.org/officeDocument/2006/relationships" name="Справочници" sheetId="2" r:id="Re0f228a302db4534"/>
    <x:sheet xmlns:r="http://schemas.openxmlformats.org/officeDocument/2006/relationships" name="Клиенти" sheetId="3" r:id="R26c7c99d4bbe4711"/>
    <x:sheet xmlns:r="http://schemas.openxmlformats.org/officeDocument/2006/relationships" name="Фактури" sheetId="4" r:id="R27eab8242c6a474d"/>
    <x:sheet xmlns:r="http://schemas.openxmlformats.org/officeDocument/2006/relationships" name="Смени" sheetId="5" r:id="R8233648ac18d4e28"/>
    <x:sheet xmlns:r="http://schemas.openxmlformats.org/officeDocument/2006/relationships" name="Примери" sheetId="6" r:id="Rc6b96cdf80e1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.mm.yyyy"/>
    <x:numFmt numFmtId="201" formatCode="0"/>
    <x:numFmt numFmtId="202" formatCode="0.00"/>
    <x:numFmt numFmtId="203" formatCode="0%"/>
    <x:numFmt numFmtId="204" formatCode="@"/>
    <x:numFmt numFmtId="205" formatCode="hh:mm"/>
    <x:numFmt numFmtId="206" formatCode="[h]:mm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5fd54c81d4208" /><Relationship Type="http://schemas.openxmlformats.org/officeDocument/2006/relationships/theme" Target="/xl/theme/theme1.xml" Id="R1dcd7d39b8e243f5" /><Relationship Type="http://schemas.openxmlformats.org/officeDocument/2006/relationships/sharedStrings" Target="/xl/sharedStrings.xml" Id="R1b9f72585b7b484d" /><Relationship Type="http://schemas.openxmlformats.org/officeDocument/2006/relationships/worksheet" Target="/xl/worksheets/sheet1.xml" Id="R78397d741cfb4370" /><Relationship Type="http://schemas.openxmlformats.org/officeDocument/2006/relationships/worksheet" Target="/xl/worksheets/sheet2.xml" Id="Re0f228a302db4534" /><Relationship Type="http://schemas.openxmlformats.org/officeDocument/2006/relationships/worksheet" Target="/xl/worksheets/sheet3.xml" Id="R26c7c99d4bbe4711" /><Relationship Type="http://schemas.openxmlformats.org/officeDocument/2006/relationships/worksheet" Target="/xl/worksheets/sheet4.xml" Id="R27eab8242c6a474d" /><Relationship Type="http://schemas.openxmlformats.org/officeDocument/2006/relationships/worksheet" Target="/xl/worksheets/sheet5.xml" Id="R8233648ac18d4e28" /><Relationship Type="http://schemas.openxmlformats.org/officeDocument/2006/relationships/worksheet" Target="/xl/worksheets/sheet6.xml" Id="Rc6b96cdf80e1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40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Име</x:v>
      </x:c>
      <x:c r="B1" s="5" t="str">
        <x:v>Фамилия</x:v>
      </x:c>
      <x:c r="C1" s="5" t="str">
        <x:v>Суров код</x:v>
      </x:c>
      <x:c r="D1" s="5" t="str">
        <x:v>Пълно име</x:v>
      </x:c>
      <x:c r="E1" s="5" t="str">
        <x:v>Код</x:v>
      </x:c>
      <x:c r="F1" s="5" t="str">
        <x:v>Префикс</x:v>
      </x:c>
      <x:c r="G1" s="5" t="str">
        <x:v>Номер</x:v>
      </x:c>
      <x:c r="H1" s="5" t="str">
        <x:v>Етикет</x:v>
      </x:c>
      <x:c r="I1" s="5" t="str">
        <x:v>Дължина</x:v>
      </x:c>
      <x:c r="J1" s="5" t="str">
        <x:v>Резултат</x:v>
      </x:c>
      <x:c r="K1" s="5" t="str">
        <x:v>Проверка</x:v>
      </x:c>
    </x:row>
    <x:row r="2" ht="26" customHeight="1">
      <x:c r="A2" s="2" t="str">
        <x:v>  иван </x:v>
      </x:c>
      <x:c r="B2" s="2" t="str">
        <x:v> петров </x:v>
      </x:c>
      <x:c r="C2" s="16" t="str">
        <x:v> bg-001 </x:v>
      </x:c>
      <x:c r="D2" s="14"/>
      <x:c r="E2" s="14"/>
      <x:c r="F2" s="14"/>
      <x:c r="G2" s="14"/>
      <x:c r="H2" s="14"/>
      <x:c r="I2" s="14"/>
      <x:c r="J2" s="14"/>
      <x:c r="K2" s="14"/>
    </x:row>
    <x:row r="3" ht="26" customHeight="1">
      <x:c r="A3" s="2" t="str">
        <x:v>мария</x:v>
      </x:c>
      <x:c r="B3" s="2" t="str">
        <x:v>  иванова</x:v>
      </x:c>
      <x:c r="C3" s="16" t="str">
        <x:v>bg-025</x:v>
      </x:c>
      <x:c r="D3" s="14"/>
      <x:c r="E3" s="14"/>
      <x:c r="F3" s="14"/>
      <x:c r="G3" s="14"/>
      <x:c r="H3" s="14"/>
      <x:c r="I3" s="14"/>
      <x:c r="J3" s="14"/>
      <x:c r="K3" s="14"/>
    </x:row>
    <x:row r="4" ht="26" customHeight="1">
      <x:c r="A4" s="2" t="str">
        <x:v>георги </x:v>
      </x:c>
      <x:c r="B4" s="2" t="str">
        <x:v>димитров</x:v>
      </x:c>
      <x:c r="C4" s="16" t="str">
        <x:v> EU-103</x:v>
      </x:c>
      <x:c r="D4" s="14"/>
      <x:c r="E4" s="14"/>
      <x:c r="F4" s="14"/>
      <x:c r="G4" s="14"/>
      <x:c r="H4" s="14"/>
      <x:c r="I4" s="14"/>
      <x:c r="J4" s="14"/>
      <x:c r="K4" s="14"/>
    </x:row>
    <x:row r="5" ht="26" customHeight="1">
      <x:c r="A5" s="2" t="str">
        <x:v>елена</x:v>
      </x:c>
      <x:c r="B5" s="2" t="str">
        <x:v> стоянова </x:v>
      </x:c>
      <x:c r="C5" s="16" t="str">
        <x:v>bg-007</x:v>
      </x:c>
      <x:c r="D5" s="14"/>
      <x:c r="E5" s="14"/>
      <x:c r="F5" s="14"/>
      <x:c r="G5" s="14"/>
      <x:c r="H5" s="14"/>
      <x:c r="I5" s="14"/>
      <x:c r="J5" s="14"/>
      <x:c r="K5" s="14"/>
    </x:row>
    <x:row r="6" ht="26" customHeight="1">
      <x:c r="A6" s="2" t="str">
        <x:v>николай</x:v>
      </x:c>
      <x:c r="B6" s="2" t="str">
        <x:v>георгиев</x:v>
      </x:c>
      <x:c r="C6" s="16" t="str">
        <x:v>EU-014</x:v>
      </x:c>
      <x:c r="D6" s="14"/>
      <x:c r="E6" s="14"/>
      <x:c r="F6" s="14"/>
      <x:c r="G6" s="14"/>
      <x:c r="H6" s="14"/>
      <x:c r="I6" s="14"/>
      <x:c r="J6" s="14"/>
      <x:c r="K6" s="14"/>
    </x:row>
    <x:row r="7" ht="26" customHeight="1">
      <x:c r="A7" s="2" t="str">
        <x:v>анна</x:v>
      </x:c>
      <x:c r="B7" s="2" t="str">
        <x:v> николова</x:v>
      </x:c>
      <x:c r="C7" s="16" t="str">
        <x:v> bg-042 </x:v>
      </x:c>
      <x:c r="D7" s="14"/>
      <x:c r="E7" s="14"/>
      <x:c r="F7" s="14"/>
      <x:c r="G7" s="14"/>
      <x:c r="H7" s="14"/>
      <x:c r="I7" s="14"/>
      <x:c r="J7" s="14"/>
      <x:c r="K7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8" customHeight="1">
      <x:c r="A1" s="5" t="str">
        <x:v>Номер</x:v>
      </x:c>
      <x:c r="B1" s="5" t="str">
        <x:v>Издадена</x:v>
      </x:c>
      <x:c r="C1" s="5" t="str">
        <x:v>Срок дни</x:v>
      </x:c>
      <x:c r="D1" s="5" t="str">
        <x:v>Падеж</x:v>
      </x:c>
      <x:c r="E1" s="5" t="str">
        <x:v>Ден</x:v>
      </x:c>
      <x:c r="F1" s="5" t="str">
        <x:v>Месец</x:v>
      </x:c>
      <x:c r="G1" s="5" t="str">
        <x:v>Година</x:v>
      </x:c>
      <x:c r="H1" s="5" t="str">
        <x:v>Дни</x:v>
      </x:c>
      <x:c r="I1" s="5" t="str">
        <x:v>Оставащи дни</x:v>
      </x:c>
      <x:c r="J1" s="5" t="str">
        <x:v>Контролна дата</x:v>
      </x:c>
    </x:row>
    <x:row r="2" ht="26" customHeight="1">
      <x:c r="A2" s="2" t="str">
        <x:v>F-001</x:v>
      </x:c>
      <x:c r="B2" s="6" t="n">
        <x:v>46296</x:v>
      </x:c>
      <x:c r="C2" s="2" t="n">
        <x:v>7</x:v>
      </x:c>
      <x:c r="D2" s="17"/>
      <x:c r="E2" s="14"/>
      <x:c r="F2" s="14"/>
      <x:c r="G2" s="14"/>
      <x:c r="H2" s="14"/>
      <x:c r="I2" s="14"/>
      <x:c r="J2" s="6"/>
    </x:row>
    <x:row r="3" ht="26" customHeight="1">
      <x:c r="A3" s="2" t="str">
        <x:v>F-002</x:v>
      </x:c>
      <x:c r="B3" s="6" t="n">
        <x:v>46298</x:v>
      </x:c>
      <x:c r="C3" s="2" t="n">
        <x:v>10</x:v>
      </x:c>
      <x:c r="D3" s="17"/>
      <x:c r="E3" s="14"/>
      <x:c r="F3" s="14"/>
      <x:c r="G3" s="14"/>
      <x:c r="H3" s="14"/>
      <x:c r="I3" s="14"/>
      <x:c r="J3" s="2"/>
    </x:row>
    <x:row r="4" ht="26" customHeight="1">
      <x:c r="A4" s="2" t="str">
        <x:v>F-003</x:v>
      </x:c>
      <x:c r="B4" s="6" t="n">
        <x:v>46301</x:v>
      </x:c>
      <x:c r="C4" s="2" t="n">
        <x:v>14</x:v>
      </x:c>
      <x:c r="D4" s="17"/>
      <x:c r="E4" s="14"/>
      <x:c r="F4" s="14"/>
      <x:c r="G4" s="14"/>
      <x:c r="H4" s="14"/>
      <x:c r="I4" s="14"/>
      <x:c r="J4" s="2"/>
    </x:row>
    <x:row r="5" ht="26" customHeight="1">
      <x:c r="A5" s="2" t="str">
        <x:v>F-004</x:v>
      </x:c>
      <x:c r="B5" s="6" t="n">
        <x:v>46304</x:v>
      </x:c>
      <x:c r="C5" s="2" t="n">
        <x:v>21</x:v>
      </x:c>
      <x:c r="D5" s="17"/>
      <x:c r="E5" s="14"/>
      <x:c r="F5" s="14"/>
      <x:c r="G5" s="14"/>
      <x:c r="H5" s="14"/>
      <x:c r="I5" s="14"/>
      <x:c r="J5" s="2"/>
    </x:row>
    <x:row r="6" ht="26" customHeight="1">
      <x:c r="A6" s="2" t="str">
        <x:v>F-005</x:v>
      </x:c>
      <x:c r="B6" s="6" t="n">
        <x:v>46307</x:v>
      </x:c>
      <x:c r="C6" s="2" t="n">
        <x:v>30</x:v>
      </x:c>
      <x:c r="D6" s="17"/>
      <x:c r="E6" s="14"/>
      <x:c r="F6" s="14"/>
      <x:c r="G6" s="14"/>
      <x:c r="H6" s="14"/>
      <x:c r="I6" s="14"/>
      <x:c r="J6" s="2"/>
    </x:row>
    <x:row r="7" ht="26" customHeight="1">
      <x:c r="A7" s="2" t="str">
        <x:v>F-006</x:v>
      </x:c>
      <x:c r="B7" s="6" t="n">
        <x:v>46310</x:v>
      </x:c>
      <x:c r="C7" s="2" t="n">
        <x:v>7</x:v>
      </x:c>
      <x:c r="D7" s="17"/>
      <x:c r="E7" s="14"/>
      <x:c r="F7" s="14"/>
      <x:c r="G7" s="14"/>
      <x:c r="H7" s="14"/>
      <x:c r="I7" s="14"/>
      <x:c r="J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4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Служител</x:v>
      </x:c>
      <x:c r="B1" s="5" t="str">
        <x:v>Начало</x:v>
      </x:c>
      <x:c r="C1" s="5" t="str">
        <x:v>Край</x:v>
      </x:c>
      <x:c r="D1" s="5" t="str">
        <x:v>Продължителност</x:v>
      </x:c>
      <x:c r="E1" s="5" t="str">
        <x:v>Десетични часове</x:v>
      </x:c>
      <x:c r="F1" s="5" t="str">
        <x:v>Час</x:v>
      </x:c>
      <x:c r="G1" s="5" t="str">
        <x:v>Минута</x:v>
      </x:c>
      <x:c r="H1" s="5"/>
      <x:c r="I1" s="5"/>
    </x:row>
    <x:row r="2" ht="26" customHeight="1">
      <x:c r="A2" s="2" t="str">
        <x:v>Иван</x:v>
      </x:c>
      <x:c r="B2" s="18" t="n">
        <x:v>0.3541666666666667</x:v>
      </x:c>
      <x:c r="C2" s="18" t="n">
        <x:v>0.7083333333333334</x:v>
      </x:c>
      <x:c r="D2" s="20"/>
      <x:c r="E2" s="13"/>
      <x:c r="F2" s="14"/>
      <x:c r="G2" s="14"/>
      <x:c r="H2" s="2"/>
      <x:c r="I2" s="2"/>
    </x:row>
    <x:row r="3" ht="26" customHeight="1">
      <x:c r="A3" s="2" t="str">
        <x:v>Мария</x:v>
      </x:c>
      <x:c r="B3" s="18" t="n">
        <x:v>0.375</x:v>
      </x:c>
      <x:c r="C3" s="18" t="n">
        <x:v>0.6979166666666666</x:v>
      </x:c>
      <x:c r="D3" s="20"/>
      <x:c r="E3" s="13"/>
      <x:c r="F3" s="14"/>
      <x:c r="G3" s="14"/>
      <x:c r="H3" s="2"/>
      <x:c r="I3" s="2"/>
    </x:row>
    <x:row r="4" ht="26" customHeight="1">
      <x:c r="A4" s="2" t="str">
        <x:v>Галина</x:v>
      </x:c>
      <x:c r="B4" s="18" t="n">
        <x:v>0.9166666666666666</x:v>
      </x:c>
      <x:c r="C4" s="18" t="n">
        <x:v>0.25</x:v>
      </x:c>
      <x:c r="D4" s="20"/>
      <x:c r="E4" s="13"/>
      <x:c r="F4" s="14"/>
      <x:c r="G4" s="14"/>
      <x:c r="H4" s="2"/>
      <x:c r="I4" s="2"/>
    </x:row>
    <x:row r="5" ht="26" customHeight="1">
      <x:c r="A5" s="2" t="str">
        <x:v>Виктор</x:v>
      </x:c>
      <x:c r="B5" s="18" t="n">
        <x:v>0.34375</x:v>
      </x:c>
      <x:c r="C5" s="18" t="n">
        <x:v>0.6666666666666666</x:v>
      </x:c>
      <x:c r="D5" s="20"/>
      <x:c r="E5" s="13"/>
      <x:c r="F5" s="14"/>
      <x:c r="G5" s="14"/>
      <x:c r="H5" s="2"/>
      <x:c r="I5" s="2"/>
    </x:row>
    <x:row r="6" ht="26" customHeight="1">
      <x:c r="A6" s="2" t="str">
        <x:v>Елена</x:v>
      </x:c>
      <x:c r="B6" s="18" t="n">
        <x:v>0.4166666666666667</x:v>
      </x:c>
      <x:c r="C6" s="18" t="n">
        <x:v>0.75</x:v>
      </x:c>
      <x:c r="D6" s="20"/>
      <x:c r="E6" s="13"/>
      <x:c r="F6" s="14"/>
      <x:c r="G6" s="14"/>
      <x:c r="H6" s="2"/>
      <x:c r="I6" s="2"/>
    </x:row>
    <x:row r="7" ht="26" customHeight="1">
      <x:c r="A7" s="2" t="str">
        <x:v>Николай</x:v>
      </x:c>
      <x:c r="B7" s="18" t="n">
        <x:v>0.9791666666666666</x:v>
      </x:c>
      <x:c r="C7" s="18" t="n">
        <x:v>0.2916666666666667</x:v>
      </x:c>
      <x:c r="D7" s="20"/>
      <x:c r="E7" s="13"/>
      <x:c r="F7" s="14"/>
      <x:c r="G7" s="14"/>
      <x:c r="H7" s="2"/>
      <x:c r="I7" s="2"/>
    </x:row>
    <x:row r="8" ht="26" customHeight="1">
      <x:c r="A8" s="2" t="str">
        <x:v>Общо</x:v>
      </x:c>
      <x:c r="B8" s="2"/>
      <x:c r="C8" s="2"/>
      <x:c r="D8" s="20"/>
      <x:c r="E8" s="13"/>
      <x:c r="F8" s="14"/>
      <x:c r="G8" s="14"/>
      <x:c r="H8" s="2"/>
      <x:c r="I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Проверка на праг</x:v>
      </x:c>
      <x:c r="B2" s="2" t="str">
        <x:v>=IF(100&gt;=100,"Да","Не")</x:v>
      </x:c>
      <x:c r="C2" s="2" t="str">
        <x:f>IF(100&gt;=100,"Да","Не")</x:f>
        <x:v>Да</x:v>
      </x:c>
    </x:row>
    <x:row r="3" ht="26" customHeight="1">
      <x:c r="A3" s="2" t="str">
        <x:v>Примерно закръгляване</x:v>
      </x:c>
      <x:c r="B3" s="2" t="str">
        <x:v>=ROUND(19.995,2)</x:v>
      </x:c>
      <x:c r="C3" s="2" t="n">
        <x:f>ROUND(19.995,2)</x:f>
        <x:v>20</x:v>
      </x:c>
    </x:row>
  </x:sheetData>
  <x:pageMargins left="0.7" right="0.7" top="0.75" bottom="0.75" header="0.3" footer="0.3"/>
</x:worksheet>
</file>
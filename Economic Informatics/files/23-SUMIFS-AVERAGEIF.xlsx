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7bdc30589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2461c38d78c4f03"/>
    <x:sheet xmlns:r="http://schemas.openxmlformats.org/officeDocument/2006/relationships" name="Справочници" sheetId="2" r:id="R27da5f1d0ff04f1d"/>
    <x:sheet xmlns:r="http://schemas.openxmlformats.org/officeDocument/2006/relationships" name="Примери" sheetId="3" r:id="R78070823f655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1f4b37ab74ea1" /><Relationship Type="http://schemas.openxmlformats.org/officeDocument/2006/relationships/theme" Target="/xl/theme/theme1.xml" Id="Re0e7d418658b413f" /><Relationship Type="http://schemas.openxmlformats.org/officeDocument/2006/relationships/sharedStrings" Target="/xl/sharedStrings.xml" Id="R9939d2c85e7940a7" /><Relationship Type="http://schemas.openxmlformats.org/officeDocument/2006/relationships/worksheet" Target="/xl/worksheets/sheet1.xml" Id="R62461c38d78c4f03" /><Relationship Type="http://schemas.openxmlformats.org/officeDocument/2006/relationships/worksheet" Target="/xl/worksheets/sheet2.xml" Id="R27da5f1d0ff04f1d" /><Relationship Type="http://schemas.openxmlformats.org/officeDocument/2006/relationships/worksheet" Target="/xl/worksheets/sheet3.xml" Id="R78070823f655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SUMIFS</x:v>
      </x:c>
      <x:c r="B2" s="2" t="str">
        <x:v>=SUMIFS(Продажби!K2:K25,Продажби!C2:C25,"Анна",Продажби!J2:J25,"Платена")</x:v>
      </x:c>
      <x:c r="C2" s="2" t="n">
        <x:f>SUMIFS(Продажби!K2:K25,Продажби!C2:C25,"Анна",Продажби!J2:J25,"Платена")</x:f>
        <x:v>22.5</x:v>
      </x:c>
    </x:row>
    <x:row r="3" ht="26" customHeight="1">
      <x:c r="A3" s="2" t="str">
        <x:v>AVERAGEIF</x:v>
      </x:c>
      <x:c r="B3" s="2" t="str">
        <x:v>=AVERAGEIF(Продажби!J2:J25,"Платена",Продажби!K2:K25)</x:v>
      </x:c>
      <x:c r="C3" s="2" t="n">
        <x:f>AVERAGEIF(Продажби!J2:J25,"Платена",Продажби!K2:K25)</x:f>
        <x:v>34.65714285714286</x:v>
      </x:c>
    </x:row>
  </x:sheetData>
  <x:pageMargins left="0.7" right="0.7" top="0.75" bottom="0.75" header="0.3" footer="0.3"/>
</x:worksheet>
</file>
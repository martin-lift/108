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98608d7f8d4c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родажби" sheetId="1" r:id="Ra54950106c224270"/>
    <x:sheet xmlns:r="http://schemas.openxmlformats.org/officeDocument/2006/relationships" name="Справочници" sheetId="2" r:id="R0b0e9916ab3e443a"/>
    <x:sheet xmlns:r="http://schemas.openxmlformats.org/officeDocument/2006/relationships" name="Примери" sheetId="3" r:id="Rd67e82dad67940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.mm.yyyy"/>
    <x:numFmt numFmtId="201" formatCode="0"/>
    <x:numFmt numFmtId="202" formatCode="0.00"/>
    <x:numFmt numFmtId="203" formatCode="0%"/>
  </x:numFmts>
  <x:fonts count="4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sz val="11"/>
      <x:color rgb="FF1758A6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4B73"/>
      </x:patternFill>
    </x:fill>
    <x:fill>
      <x:patternFill patternType="solid">
        <x:fgColor rgb="FFFFF4C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519d6adc144785" /><Relationship Type="http://schemas.openxmlformats.org/officeDocument/2006/relationships/theme" Target="/xl/theme/theme1.xml" Id="R8a0e58bbea7e4f4b" /><Relationship Type="http://schemas.openxmlformats.org/officeDocument/2006/relationships/sharedStrings" Target="/xl/sharedStrings.xml" Id="R1029648fec3f4760" /><Relationship Type="http://schemas.openxmlformats.org/officeDocument/2006/relationships/worksheet" Target="/xl/worksheets/sheet1.xml" Id="Ra54950106c224270" /><Relationship Type="http://schemas.openxmlformats.org/officeDocument/2006/relationships/worksheet" Target="/xl/worksheets/sheet2.xml" Id="R0b0e9916ab3e443a" /><Relationship Type="http://schemas.openxmlformats.org/officeDocument/2006/relationships/worksheet" Target="/xl/worksheets/sheet3.xml" Id="Rd67e82dad679407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25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35" hidden="0" customWidth="1"/>
    <x:col min="18" max="18" width="22" hidden="0" customWidth="1"/>
    <x:col min="19" max="19" width="22" hidden="0" customWidth="1"/>
    <x:col min="20" max="20" width="22" hidden="0" customWidth="1"/>
  </x:cols>
  <x:sheetData>
    <x:row r="1" ht="38" customHeight="1">
      <x:c r="A1" s="5" t="str">
        <x:v>Номер</x:v>
      </x:c>
      <x:c r="B1" s="5" t="str">
        <x:v>Дата</x:v>
      </x:c>
      <x:c r="C1" s="5" t="str">
        <x:v>Търговец</x:v>
      </x:c>
      <x:c r="D1" s="5" t="str">
        <x:v>Клиент</x:v>
      </x:c>
      <x:c r="E1" s="5" t="str">
        <x:v>Код</x:v>
      </x:c>
      <x:c r="F1" s="5" t="str">
        <x:v>Продукт</x:v>
      </x:c>
      <x:c r="G1" s="5" t="str">
        <x:v>Категория</x:v>
      </x:c>
      <x:c r="H1" s="5" t="str">
        <x:v>Количество</x:v>
      </x:c>
      <x:c r="I1" s="5" t="str">
        <x:v>Цена EUR</x:v>
      </x:c>
      <x:c r="J1" s="5" t="str">
        <x:v>Статус</x:v>
      </x:c>
      <x:c r="K1" s="5" t="str">
        <x:v>Стойност</x:v>
      </x:c>
      <x:c r="L1" s="5" t="str">
        <x:v>Отстъпка</x:v>
      </x:c>
      <x:c r="M1" s="5" t="str">
        <x:v>За плащане</x:v>
      </x:c>
      <x:c r="N1" s="5" t="str">
        <x:v>Резултат 1</x:v>
      </x:c>
      <x:c r="O1" s="5" t="str">
        <x:v>Проверка</x:v>
      </x:c>
      <x:c r="P1" s="5" t="str">
        <x:v>Бележка</x:v>
      </x:c>
    </x:row>
    <x:row r="2" ht="26" customHeight="1">
      <x:c r="A2" s="9" t="str">
        <x:v>S-001</x:v>
      </x:c>
      <x:c r="B2" s="10" t="n">
        <x:v>46267</x:v>
      </x:c>
      <x:c r="C2" s="9" t="str">
        <x:v>Анна</x:v>
      </x:c>
      <x:c r="D2" s="9" t="str">
        <x:v>Алфа</x:v>
      </x:c>
      <x:c r="E2" s="9" t="str">
        <x:v>P001</x:v>
      </x:c>
      <x:c r="F2" s="9" t="str">
        <x:v>Тетрадка</x:v>
      </x:c>
      <x:c r="G2" s="9" t="str">
        <x:v>Хартия</x:v>
      </x:c>
      <x:c r="H2" s="11" t="n">
        <x:v>5</x:v>
      </x:c>
      <x:c r="I2" s="12" t="n">
        <x:v>4.5</x:v>
      </x:c>
      <x:c r="J2" s="12" t="str">
        <x:v>Платена</x:v>
      </x:c>
      <x:c r="K2" s="13" t="n">
        <x:f>ROUND(H2*I2,2)</x:f>
        <x:v>22.5</x:v>
      </x:c>
      <x:c r="L2" s="13"/>
      <x:c r="M2" s="13"/>
      <x:c r="N2" s="14"/>
      <x:c r="O2" s="14"/>
      <x:c r="P2" s="14"/>
    </x:row>
    <x:row r="3" ht="26" customHeight="1">
      <x:c r="A3" s="9" t="str">
        <x:v>S-002</x:v>
      </x:c>
      <x:c r="B3" s="10" t="n">
        <x:v>46270</x:v>
      </x:c>
      <x:c r="C3" s="9" t="str">
        <x:v>Борис</x:v>
      </x:c>
      <x:c r="D3" s="9" t="str">
        <x:v>Бета</x:v>
      </x:c>
      <x:c r="E3" s="9" t="str">
        <x:v>P002</x:v>
      </x:c>
      <x:c r="F3" s="9" t="str">
        <x:v>Папка</x:v>
      </x:c>
      <x:c r="G3" s="9" t="str">
        <x:v>Организация</x:v>
      </x:c>
      <x:c r="H3" s="11" t="n">
        <x:v>20</x:v>
      </x:c>
      <x:c r="I3" s="12" t="n">
        <x:v>6</x:v>
      </x:c>
      <x:c r="J3" s="12" t="str">
        <x:v>Нова</x:v>
      </x:c>
      <x:c r="K3" s="13" t="n">
        <x:f>ROUND(H3*I3,2)</x:f>
        <x:v>120</x:v>
      </x:c>
      <x:c r="L3" s="13"/>
      <x:c r="M3" s="13"/>
      <x:c r="N3" s="14"/>
      <x:c r="O3" s="14"/>
      <x:c r="P3" s="14"/>
    </x:row>
    <x:row r="4" ht="26" customHeight="1">
      <x:c r="A4" s="9" t="str">
        <x:v>S-003</x:v>
      </x:c>
      <x:c r="B4" s="10" t="n">
        <x:v>46273</x:v>
      </x:c>
      <x:c r="C4" s="9" t="str">
        <x:v>Вера</x:v>
      </x:c>
      <x:c r="D4" s="9" t="str">
        <x:v>Гама</x:v>
      </x:c>
      <x:c r="E4" s="9" t="str">
        <x:v>P003</x:v>
      </x:c>
      <x:c r="F4" s="9" t="str">
        <x:v>Химикал</x:v>
      </x:c>
      <x:c r="G4" s="9" t="str">
        <x:v>Писане</x:v>
      </x:c>
      <x:c r="H4" s="11" t="n">
        <x:v>12</x:v>
      </x:c>
      <x:c r="I4" s="12" t="n">
        <x:v>2.4</x:v>
      </x:c>
      <x:c r="J4" s="12" t="str">
        <x:v>Отказана</x:v>
      </x:c>
      <x:c r="K4" s="13" t="n">
        <x:f>ROUND(H4*I4,2)</x:f>
        <x:v>28.8</x:v>
      </x:c>
      <x:c r="L4" s="13"/>
      <x:c r="M4" s="13"/>
      <x:c r="N4" s="14"/>
      <x:c r="O4" s="14"/>
      <x:c r="P4" s="14"/>
    </x:row>
    <x:row r="5" ht="26" customHeight="1">
      <x:c r="A5" s="9" t="str">
        <x:v>S-004</x:v>
      </x:c>
      <x:c r="B5" s="10" t="n">
        <x:v>46276</x:v>
      </x:c>
      <x:c r="C5" s="9" t="str">
        <x:v>Анна</x:v>
      </x:c>
      <x:c r="D5" s="9" t="str">
        <x:v>Делта</x:v>
      </x:c>
      <x:c r="E5" s="9" t="str">
        <x:v>P004</x:v>
      </x:c>
      <x:c r="F5" s="9" t="str">
        <x:v>Принтерна хартия</x:v>
      </x:c>
      <x:c r="G5" s="9" t="str">
        <x:v>Хартия</x:v>
      </x:c>
      <x:c r="H5" s="11" t="n">
        <x:v>8</x:v>
      </x:c>
      <x:c r="I5" s="12" t="n">
        <x:v>8.75</x:v>
      </x:c>
      <x:c r="J5" s="12" t="str">
        <x:v>Изпратена</x:v>
      </x:c>
      <x:c r="K5" s="13" t="n">
        <x:f>ROUND(H5*I5,2)</x:f>
        <x:v>70</x:v>
      </x:c>
      <x:c r="L5" s="13"/>
      <x:c r="M5" s="13"/>
      <x:c r="N5" s="14"/>
      <x:c r="O5" s="14"/>
      <x:c r="P5" s="14"/>
    </x:row>
    <x:row r="6" ht="26" customHeight="1">
      <x:c r="A6" s="9" t="str">
        <x:v>S-005</x:v>
      </x:c>
      <x:c r="B6" s="10" t="n">
        <x:v>46279</x:v>
      </x:c>
      <x:c r="C6" s="9" t="str">
        <x:v>Борис</x:v>
      </x:c>
      <x:c r="D6" s="9" t="str">
        <x:v>Бета</x:v>
      </x:c>
      <x:c r="E6" s="9" t="str">
        <x:v>P005</x:v>
      </x:c>
      <x:c r="F6" s="9" t="str">
        <x:v>Маркер</x:v>
      </x:c>
      <x:c r="G6" s="9" t="str">
        <x:v>Писане</x:v>
      </x:c>
      <x:c r="H6" s="11" t="n">
        <x:v>10</x:v>
      </x:c>
      <x:c r="I6" s="12" t="n">
        <x:v>3.2</x:v>
      </x:c>
      <x:c r="J6" s="12" t="str">
        <x:v>Платена</x:v>
      </x:c>
      <x:c r="K6" s="13" t="n">
        <x:f>ROUND(H6*I6,2)</x:f>
        <x:v>32</x:v>
      </x:c>
      <x:c r="L6" s="13"/>
      <x:c r="M6" s="13"/>
      <x:c r="N6" s="14"/>
      <x:c r="O6" s="14"/>
      <x:c r="P6" s="14"/>
    </x:row>
    <x:row r="7" ht="26" customHeight="1">
      <x:c r="A7" s="9" t="str">
        <x:v>S-006</x:v>
      </x:c>
      <x:c r="B7" s="10" t="n">
        <x:v>46282</x:v>
      </x:c>
      <x:c r="C7" s="9" t="str">
        <x:v>Вера</x:v>
      </x:c>
      <x:c r="D7" s="9" t="str">
        <x:v>Гама</x:v>
      </x:c>
      <x:c r="E7" s="9" t="str">
        <x:v>P006</x:v>
      </x:c>
      <x:c r="F7" s="9" t="str">
        <x:v>Класьор</x:v>
      </x:c>
      <x:c r="G7" s="9" t="str">
        <x:v>Организация</x:v>
      </x:c>
      <x:c r="H7" s="11" t="n">
        <x:v>15</x:v>
      </x:c>
      <x:c r="I7" s="12" t="n">
        <x:v>7.5</x:v>
      </x:c>
      <x:c r="J7" s="12" t="str">
        <x:v>Отказана</x:v>
      </x:c>
      <x:c r="K7" s="13" t="n">
        <x:f>ROUND(H7*I7,2)</x:f>
        <x:v>112.5</x:v>
      </x:c>
      <x:c r="L7" s="13"/>
      <x:c r="M7" s="13"/>
      <x:c r="N7" s="14"/>
      <x:c r="O7" s="14"/>
      <x:c r="P7" s="14"/>
    </x:row>
    <x:row r="8" ht="26" customHeight="1">
      <x:c r="A8" s="9" t="str">
        <x:v>S-007</x:v>
      </x:c>
      <x:c r="B8" s="10" t="n">
        <x:v>46285</x:v>
      </x:c>
      <x:c r="C8" s="9" t="str">
        <x:v>Борис</x:v>
      </x:c>
      <x:c r="D8" s="9" t="str">
        <x:v>Делта</x:v>
      </x:c>
      <x:c r="E8" s="9" t="str">
        <x:v>P001</x:v>
      </x:c>
      <x:c r="F8" s="9" t="str">
        <x:v>Тетрадка</x:v>
      </x:c>
      <x:c r="G8" s="9" t="str">
        <x:v>Хартия</x:v>
      </x:c>
      <x:c r="H8" s="11" t="n">
        <x:v>30</x:v>
      </x:c>
      <x:c r="I8" s="12" t="n">
        <x:v>4.5</x:v>
      </x:c>
      <x:c r="J8" s="12" t="str">
        <x:v>Изпратена</x:v>
      </x:c>
      <x:c r="K8" s="13" t="n">
        <x:f>ROUND(H8*I8,2)</x:f>
        <x:v>135</x:v>
      </x:c>
      <x:c r="L8" s="13"/>
      <x:c r="M8" s="13"/>
      <x:c r="N8" s="14"/>
      <x:c r="O8" s="14"/>
      <x:c r="P8" s="14"/>
    </x:row>
    <x:row r="9" ht="26" customHeight="1">
      <x:c r="A9" s="9" t="str">
        <x:v>S-008</x:v>
      </x:c>
      <x:c r="B9" s="10" t="n">
        <x:v>46288</x:v>
      </x:c>
      <x:c r="C9" s="9" t="str">
        <x:v>Вера</x:v>
      </x:c>
      <x:c r="D9" s="9" t="str">
        <x:v>Алфа</x:v>
      </x:c>
      <x:c r="E9" s="9" t="str">
        <x:v>P002</x:v>
      </x:c>
      <x:c r="F9" s="9" t="str">
        <x:v>Папка</x:v>
      </x:c>
      <x:c r="G9" s="9" t="str">
        <x:v>Организация</x:v>
      </x:c>
      <x:c r="H9" s="11" t="n">
        <x:v>4</x:v>
      </x:c>
      <x:c r="I9" s="12" t="n">
        <x:v>6</x:v>
      </x:c>
      <x:c r="J9" s="12" t="str">
        <x:v>Платена</x:v>
      </x:c>
      <x:c r="K9" s="13" t="n">
        <x:f>ROUND(H9*I9,2)</x:f>
        <x:v>24</x:v>
      </x:c>
      <x:c r="L9" s="13"/>
      <x:c r="M9" s="13"/>
      <x:c r="N9" s="14"/>
      <x:c r="O9" s="14"/>
      <x:c r="P9" s="14"/>
    </x:row>
    <x:row r="10" ht="26" customHeight="1">
      <x:c r="A10" s="9" t="str">
        <x:v>S-009</x:v>
      </x:c>
      <x:c r="B10" s="10" t="n">
        <x:v>46297</x:v>
      </x:c>
      <x:c r="C10" s="9" t="str">
        <x:v>Анна</x:v>
      </x:c>
      <x:c r="D10" s="9" t="str">
        <x:v>Гама</x:v>
      </x:c>
      <x:c r="E10" s="9" t="str">
        <x:v>P003</x:v>
      </x:c>
      <x:c r="F10" s="9" t="str">
        <x:v>Химикал</x:v>
      </x:c>
      <x:c r="G10" s="9" t="str">
        <x:v>Писане</x:v>
      </x:c>
      <x:c r="H10" s="11" t="n">
        <x:v>18</x:v>
      </x:c>
      <x:c r="I10" s="12" t="n">
        <x:v>2.4</x:v>
      </x:c>
      <x:c r="J10" s="12" t="str">
        <x:v>Нова</x:v>
      </x:c>
      <x:c r="K10" s="13" t="n">
        <x:f>ROUND(H10*I10,2)</x:f>
        <x:v>43.2</x:v>
      </x:c>
      <x:c r="L10" s="13"/>
      <x:c r="M10" s="13"/>
      <x:c r="N10" s="14"/>
      <x:c r="O10" s="14"/>
      <x:c r="P10" s="14"/>
    </x:row>
    <x:row r="11" ht="26" customHeight="1">
      <x:c r="A11" s="9" t="str">
        <x:v>S-010</x:v>
      </x:c>
      <x:c r="B11" s="10" t="n">
        <x:v>46300</x:v>
      </x:c>
      <x:c r="C11" s="9" t="str">
        <x:v>Борис</x:v>
      </x:c>
      <x:c r="D11" s="9" t="str">
        <x:v>Делта</x:v>
      </x:c>
      <x:c r="E11" s="9" t="str">
        <x:v>P004</x:v>
      </x:c>
      <x:c r="F11" s="9" t="str">
        <x:v>Принтерна хартия</x:v>
      </x:c>
      <x:c r="G11" s="9" t="str">
        <x:v>Хартия</x:v>
      </x:c>
      <x:c r="H11" s="11" t="n">
        <x:v>25</x:v>
      </x:c>
      <x:c r="I11" s="12" t="n">
        <x:v>8.75</x:v>
      </x:c>
      <x:c r="J11" s="12" t="str">
        <x:v>Отказана</x:v>
      </x:c>
      <x:c r="K11" s="13" t="n">
        <x:f>ROUND(H11*I11,2)</x:f>
        <x:v>218.75</x:v>
      </x:c>
      <x:c r="L11" s="13"/>
      <x:c r="M11" s="13"/>
      <x:c r="N11" s="14"/>
      <x:c r="O11" s="14"/>
      <x:c r="P11" s="14"/>
    </x:row>
    <x:row r="12" ht="26" customHeight="1">
      <x:c r="A12" s="9" t="str">
        <x:v>S-011</x:v>
      </x:c>
      <x:c r="B12" s="10" t="n">
        <x:v>46303</x:v>
      </x:c>
      <x:c r="C12" s="9" t="str">
        <x:v>Вера</x:v>
      </x:c>
      <x:c r="D12" s="9" t="str">
        <x:v>Алфа</x:v>
      </x:c>
      <x:c r="E12" s="9" t="str">
        <x:v>P005</x:v>
      </x:c>
      <x:c r="F12" s="9" t="str">
        <x:v>Маркер</x:v>
      </x:c>
      <x:c r="G12" s="9" t="str">
        <x:v>Писане</x:v>
      </x:c>
      <x:c r="H12" s="11" t="n">
        <x:v>6</x:v>
      </x:c>
      <x:c r="I12" s="12" t="n">
        <x:v>3.2</x:v>
      </x:c>
      <x:c r="J12" s="12" t="str">
        <x:v>Платена</x:v>
      </x:c>
      <x:c r="K12" s="13" t="n">
        <x:f>ROUND(H12*I12,2)</x:f>
        <x:v>19.2</x:v>
      </x:c>
      <x:c r="L12" s="13"/>
      <x:c r="M12" s="13"/>
      <x:c r="N12" s="14"/>
      <x:c r="O12" s="14"/>
      <x:c r="P12" s="14"/>
    </x:row>
    <x:row r="13" ht="26" customHeight="1">
      <x:c r="A13" s="9" t="str">
        <x:v>S-012</x:v>
      </x:c>
      <x:c r="B13" s="10" t="n">
        <x:v>46306</x:v>
      </x:c>
      <x:c r="C13" s="9" t="str">
        <x:v>Анна</x:v>
      </x:c>
      <x:c r="D13" s="9" t="str">
        <x:v>Бета</x:v>
      </x:c>
      <x:c r="E13" s="9" t="str">
        <x:v>P006</x:v>
      </x:c>
      <x:c r="F13" s="9" t="str">
        <x:v>Класьор</x:v>
      </x:c>
      <x:c r="G13" s="9" t="str">
        <x:v>Организация</x:v>
      </x:c>
      <x:c r="H13" s="11" t="n">
        <x:v>12</x:v>
      </x:c>
      <x:c r="I13" s="12" t="n">
        <x:v>7.5</x:v>
      </x:c>
      <x:c r="J13" s="12" t="str">
        <x:v>Нова</x:v>
      </x:c>
      <x:c r="K13" s="13" t="n">
        <x:f>ROUND(H13*I13,2)</x:f>
        <x:v>90</x:v>
      </x:c>
      <x:c r="L13" s="13"/>
      <x:c r="M13" s="13"/>
      <x:c r="N13" s="14"/>
      <x:c r="O13" s="14"/>
      <x:c r="P13" s="14"/>
    </x:row>
    <x:row r="14" ht="26" customHeight="1">
      <x:c r="A14" s="9" t="str">
        <x:v>S-013</x:v>
      </x:c>
      <x:c r="B14" s="10" t="n">
        <x:v>46309</x:v>
      </x:c>
      <x:c r="C14" s="9" t="str">
        <x:v>Вера</x:v>
      </x:c>
      <x:c r="D14" s="9" t="str">
        <x:v>Делта</x:v>
      </x:c>
      <x:c r="E14" s="9" t="str">
        <x:v>P001</x:v>
      </x:c>
      <x:c r="F14" s="9" t="str">
        <x:v>Тетрадка</x:v>
      </x:c>
      <x:c r="G14" s="9" t="str">
        <x:v>Хартия</x:v>
      </x:c>
      <x:c r="H14" s="11" t="n">
        <x:v>40</x:v>
      </x:c>
      <x:c r="I14" s="12" t="n">
        <x:v>4.5</x:v>
      </x:c>
      <x:c r="J14" s="12" t="str">
        <x:v>Отказана</x:v>
      </x:c>
      <x:c r="K14" s="13" t="n">
        <x:f>ROUND(H14*I14,2)</x:f>
        <x:v>180</x:v>
      </x:c>
      <x:c r="L14" s="13"/>
      <x:c r="M14" s="13"/>
      <x:c r="N14" s="14"/>
      <x:c r="O14" s="14"/>
      <x:c r="P14" s="14"/>
    </x:row>
    <x:row r="15" ht="26" customHeight="1">
      <x:c r="A15" s="9" t="str">
        <x:v>S-014</x:v>
      </x:c>
      <x:c r="B15" s="10" t="n">
        <x:v>46312</x:v>
      </x:c>
      <x:c r="C15" s="9" t="str">
        <x:v>Анна</x:v>
      </x:c>
      <x:c r="D15" s="9" t="str">
        <x:v>Алфа</x:v>
      </x:c>
      <x:c r="E15" s="9" t="str">
        <x:v>P002</x:v>
      </x:c>
      <x:c r="F15" s="9" t="str">
        <x:v>Папка</x:v>
      </x:c>
      <x:c r="G15" s="9" t="str">
        <x:v>Организация</x:v>
      </x:c>
      <x:c r="H15" s="11" t="n">
        <x:v>9</x:v>
      </x:c>
      <x:c r="I15" s="12" t="n">
        <x:v>6</x:v>
      </x:c>
      <x:c r="J15" s="12" t="str">
        <x:v>Изпратена</x:v>
      </x:c>
      <x:c r="K15" s="13" t="n">
        <x:f>ROUND(H15*I15,2)</x:f>
        <x:v>54</x:v>
      </x:c>
      <x:c r="L15" s="13"/>
      <x:c r="M15" s="13"/>
      <x:c r="N15" s="14"/>
      <x:c r="O15" s="14"/>
      <x:c r="P15" s="14"/>
    </x:row>
    <x:row r="16" ht="26" customHeight="1">
      <x:c r="A16" s="9" t="str">
        <x:v>S-015</x:v>
      </x:c>
      <x:c r="B16" s="10" t="n">
        <x:v>46315</x:v>
      </x:c>
      <x:c r="C16" s="9" t="str">
        <x:v>Борис</x:v>
      </x:c>
      <x:c r="D16" s="9" t="str">
        <x:v>Бета</x:v>
      </x:c>
      <x:c r="E16" s="9" t="str">
        <x:v>P003</x:v>
      </x:c>
      <x:c r="F16" s="9" t="str">
        <x:v>Химикал</x:v>
      </x:c>
      <x:c r="G16" s="9" t="str">
        <x:v>Писане</x:v>
      </x:c>
      <x:c r="H16" s="11" t="n">
        <x:v>16</x:v>
      </x:c>
      <x:c r="I16" s="12" t="n">
        <x:v>2.4</x:v>
      </x:c>
      <x:c r="J16" s="12" t="str">
        <x:v>Платена</x:v>
      </x:c>
      <x:c r="K16" s="13" t="n">
        <x:f>ROUND(H16*I16,2)</x:f>
        <x:v>38.4</x:v>
      </x:c>
      <x:c r="L16" s="13"/>
      <x:c r="M16" s="13"/>
      <x:c r="N16" s="14"/>
      <x:c r="O16" s="14"/>
      <x:c r="P16" s="14"/>
    </x:row>
    <x:row r="17" ht="26" customHeight="1">
      <x:c r="A17" s="9" t="str">
        <x:v>S-016</x:v>
      </x:c>
      <x:c r="B17" s="10" t="n">
        <x:v>46318</x:v>
      </x:c>
      <x:c r="C17" s="9" t="str">
        <x:v>Вера</x:v>
      </x:c>
      <x:c r="D17" s="9" t="str">
        <x:v>Гама</x:v>
      </x:c>
      <x:c r="E17" s="9" t="str">
        <x:v>P004</x:v>
      </x:c>
      <x:c r="F17" s="9" t="str">
        <x:v>Принтерна хартия</x:v>
      </x:c>
      <x:c r="G17" s="9" t="str">
        <x:v>Хартия</x:v>
      </x:c>
      <x:c r="H17" s="11" t="n">
        <x:v>8</x:v>
      </x:c>
      <x:c r="I17" s="12" t="n">
        <x:v>8.75</x:v>
      </x:c>
      <x:c r="J17" s="12" t="str">
        <x:v>Отказана</x:v>
      </x:c>
      <x:c r="K17" s="13" t="n">
        <x:f>ROUND(H17*I17,2)</x:f>
        <x:v>70</x:v>
      </x:c>
      <x:c r="L17" s="13"/>
      <x:c r="M17" s="13"/>
      <x:c r="N17" s="14"/>
      <x:c r="O17" s="14"/>
      <x:c r="P17" s="14"/>
    </x:row>
    <x:row r="18" ht="26" customHeight="1">
      <x:c r="A18" s="9" t="str">
        <x:v>S-017</x:v>
      </x:c>
      <x:c r="B18" s="10" t="n">
        <x:v>46328</x:v>
      </x:c>
      <x:c r="C18" s="9" t="str">
        <x:v>Анна</x:v>
      </x:c>
      <x:c r="D18" s="9" t="str">
        <x:v>Алфа</x:v>
      </x:c>
      <x:c r="E18" s="9" t="str">
        <x:v>P005</x:v>
      </x:c>
      <x:c r="F18" s="9" t="str">
        <x:v>Маркер</x:v>
      </x:c>
      <x:c r="G18" s="9" t="str">
        <x:v>Писане</x:v>
      </x:c>
      <x:c r="H18" s="11" t="n">
        <x:v>22</x:v>
      </x:c>
      <x:c r="I18" s="12" t="n">
        <x:v>3.2</x:v>
      </x:c>
      <x:c r="J18" s="12" t="str">
        <x:v>Изпратена</x:v>
      </x:c>
      <x:c r="K18" s="13" t="n">
        <x:f>ROUND(H18*I18,2)</x:f>
        <x:v>70.4</x:v>
      </x:c>
      <x:c r="L18" s="13"/>
      <x:c r="M18" s="13"/>
      <x:c r="N18" s="14"/>
      <x:c r="O18" s="14"/>
      <x:c r="P18" s="14"/>
    </x:row>
    <x:row r="19" ht="26" customHeight="1">
      <x:c r="A19" s="9" t="str">
        <x:v>S-018</x:v>
      </x:c>
      <x:c r="B19" s="10" t="n">
        <x:v>46331</x:v>
      </x:c>
      <x:c r="C19" s="9" t="str">
        <x:v>Борис</x:v>
      </x:c>
      <x:c r="D19" s="9" t="str">
        <x:v>Бета</x:v>
      </x:c>
      <x:c r="E19" s="9" t="str">
        <x:v>P006</x:v>
      </x:c>
      <x:c r="F19" s="9" t="str">
        <x:v>Класьор</x:v>
      </x:c>
      <x:c r="G19" s="9" t="str">
        <x:v>Организация</x:v>
      </x:c>
      <x:c r="H19" s="11" t="n">
        <x:v>3</x:v>
      </x:c>
      <x:c r="I19" s="12" t="n">
        <x:v>7.5</x:v>
      </x:c>
      <x:c r="J19" s="12" t="str">
        <x:v>Платена</x:v>
      </x:c>
      <x:c r="K19" s="13" t="n">
        <x:f>ROUND(H19*I19,2)</x:f>
        <x:v>22.5</x:v>
      </x:c>
      <x:c r="L19" s="13"/>
      <x:c r="M19" s="13"/>
      <x:c r="N19" s="14"/>
      <x:c r="O19" s="14"/>
      <x:c r="P19" s="14"/>
    </x:row>
    <x:row r="20" ht="26" customHeight="1">
      <x:c r="A20" s="9" t="str">
        <x:v>S-019</x:v>
      </x:c>
      <x:c r="B20" s="10" t="n">
        <x:v>46334</x:v>
      </x:c>
      <x:c r="C20" s="9" t="str">
        <x:v>Анна</x:v>
      </x:c>
      <x:c r="D20" s="9" t="str">
        <x:v>Гама</x:v>
      </x:c>
      <x:c r="E20" s="9" t="str">
        <x:v>P001</x:v>
      </x:c>
      <x:c r="F20" s="9" t="str">
        <x:v>Тетрадка</x:v>
      </x:c>
      <x:c r="G20" s="9" t="str">
        <x:v>Хартия</x:v>
      </x:c>
      <x:c r="H20" s="11" t="n">
        <x:v>10</x:v>
      </x:c>
      <x:c r="I20" s="12" t="n">
        <x:v>4.5</x:v>
      </x:c>
      <x:c r="J20" s="12" t="str">
        <x:v>Нова</x:v>
      </x:c>
      <x:c r="K20" s="13" t="n">
        <x:f>ROUND(H20*I20,2)</x:f>
        <x:v>45</x:v>
      </x:c>
      <x:c r="L20" s="13"/>
      <x:c r="M20" s="13"/>
      <x:c r="N20" s="14"/>
      <x:c r="O20" s="14"/>
      <x:c r="P20" s="14"/>
    </x:row>
    <x:row r="21" ht="26" customHeight="1">
      <x:c r="A21" s="9" t="str">
        <x:v>S-020</x:v>
      </x:c>
      <x:c r="B21" s="10" t="n">
        <x:v>46337</x:v>
      </x:c>
      <x:c r="C21" s="9" t="str">
        <x:v>Борис</x:v>
      </x:c>
      <x:c r="D21" s="9" t="str">
        <x:v>Делта</x:v>
      </x:c>
      <x:c r="E21" s="9" t="str">
        <x:v>P002</x:v>
      </x:c>
      <x:c r="F21" s="9" t="str">
        <x:v>Папка</x:v>
      </x:c>
      <x:c r="G21" s="9" t="str">
        <x:v>Организация</x:v>
      </x:c>
      <x:c r="H21" s="11" t="n">
        <x:v>14</x:v>
      </x:c>
      <x:c r="I21" s="12" t="n">
        <x:v>6</x:v>
      </x:c>
      <x:c r="J21" s="12" t="str">
        <x:v>Отказана</x:v>
      </x:c>
      <x:c r="K21" s="13" t="n">
        <x:f>ROUND(H21*I21,2)</x:f>
        <x:v>84</x:v>
      </x:c>
      <x:c r="L21" s="13"/>
      <x:c r="M21" s="13"/>
      <x:c r="N21" s="14"/>
      <x:c r="O21" s="14"/>
      <x:c r="P21" s="14"/>
    </x:row>
    <x:row r="22" ht="26" customHeight="1">
      <x:c r="A22" s="9" t="str">
        <x:v>S-021</x:v>
      </x:c>
      <x:c r="B22" s="10" t="n">
        <x:v>46340</x:v>
      </x:c>
      <x:c r="C22" s="9" t="str">
        <x:v>Вера</x:v>
      </x:c>
      <x:c r="D22" s="9" t="str">
        <x:v>Бета</x:v>
      </x:c>
      <x:c r="E22" s="9" t="str">
        <x:v>P003</x:v>
      </x:c>
      <x:c r="F22" s="9" t="str">
        <x:v>Химикал</x:v>
      </x:c>
      <x:c r="G22" s="9" t="str">
        <x:v>Писане</x:v>
      </x:c>
      <x:c r="H22" s="11" t="n">
        <x:v>35</x:v>
      </x:c>
      <x:c r="I22" s="12" t="n">
        <x:v>2.4</x:v>
      </x:c>
      <x:c r="J22" s="12" t="str">
        <x:v>Платена</x:v>
      </x:c>
      <x:c r="K22" s="13" t="n">
        <x:f>ROUND(H22*I22,2)</x:f>
        <x:v>84</x:v>
      </x:c>
      <x:c r="L22" s="13"/>
      <x:c r="M22" s="13"/>
      <x:c r="N22" s="14"/>
      <x:c r="O22" s="14"/>
      <x:c r="P22" s="14"/>
    </x:row>
    <x:row r="23" ht="26" customHeight="1">
      <x:c r="A23" s="9" t="str">
        <x:v>S-022</x:v>
      </x:c>
      <x:c r="B23" s="10" t="n">
        <x:v>46343</x:v>
      </x:c>
      <x:c r="C23" s="9" t="str">
        <x:v>Анна</x:v>
      </x:c>
      <x:c r="D23" s="9" t="str">
        <x:v>Гама</x:v>
      </x:c>
      <x:c r="E23" s="9" t="str">
        <x:v>P004</x:v>
      </x:c>
      <x:c r="F23" s="9" t="str">
        <x:v>Принтерна хартия</x:v>
      </x:c>
      <x:c r="G23" s="9" t="str">
        <x:v>Хартия</x:v>
      </x:c>
      <x:c r="H23" s="11" t="n">
        <x:v>6</x:v>
      </x:c>
      <x:c r="I23" s="12" t="n">
        <x:v>8.75</x:v>
      </x:c>
      <x:c r="J23" s="12" t="str">
        <x:v>Нова</x:v>
      </x:c>
      <x:c r="K23" s="13" t="n">
        <x:f>ROUND(H23*I23,2)</x:f>
        <x:v>52.5</x:v>
      </x:c>
      <x:c r="L23" s="13"/>
      <x:c r="M23" s="13"/>
      <x:c r="N23" s="14"/>
      <x:c r="O23" s="14"/>
      <x:c r="P23" s="14"/>
    </x:row>
    <x:row r="24" ht="26" customHeight="1">
      <x:c r="A24" s="9" t="str">
        <x:v>S-023</x:v>
      </x:c>
      <x:c r="B24" s="10" t="n">
        <x:v>46346</x:v>
      </x:c>
      <x:c r="C24" s="9" t="str">
        <x:v>Борис</x:v>
      </x:c>
      <x:c r="D24" s="9" t="str">
        <x:v>Делта</x:v>
      </x:c>
      <x:c r="E24" s="9" t="str">
        <x:v>P005</x:v>
      </x:c>
      <x:c r="F24" s="9" t="str">
        <x:v>Маркер</x:v>
      </x:c>
      <x:c r="G24" s="9" t="str">
        <x:v>Писане</x:v>
      </x:c>
      <x:c r="H24" s="11" t="n">
        <x:v>24</x:v>
      </x:c>
      <x:c r="I24" s="12" t="n">
        <x:v>3.2</x:v>
      </x:c>
      <x:c r="J24" s="12" t="str">
        <x:v>Отказана</x:v>
      </x:c>
      <x:c r="K24" s="13" t="n">
        <x:f>ROUND(H24*I24,2)</x:f>
        <x:v>76.8</x:v>
      </x:c>
      <x:c r="L24" s="13"/>
      <x:c r="M24" s="13"/>
      <x:c r="N24" s="14"/>
      <x:c r="O24" s="14"/>
      <x:c r="P24" s="14"/>
    </x:row>
    <x:row r="25" ht="26" customHeight="1">
      <x:c r="A25" s="9" t="str">
        <x:v>S-024</x:v>
      </x:c>
      <x:c r="B25" s="10" t="n">
        <x:v>46349</x:v>
      </x:c>
      <x:c r="C25" s="9" t="str">
        <x:v>Вера</x:v>
      </x:c>
      <x:c r="D25" s="9" t="str">
        <x:v>Алфа</x:v>
      </x:c>
      <x:c r="E25" s="9" t="str">
        <x:v>P006</x:v>
      </x:c>
      <x:c r="F25" s="9" t="str">
        <x:v>Класьор</x:v>
      </x:c>
      <x:c r="G25" s="9" t="str">
        <x:v>Организация</x:v>
      </x:c>
      <x:c r="H25" s="11" t="n">
        <x:v>11</x:v>
      </x:c>
      <x:c r="I25" s="12" t="n">
        <x:v>7.5</x:v>
      </x:c>
      <x:c r="J25" s="12" t="str">
        <x:v>Изпратена</x:v>
      </x:c>
      <x:c r="K25" s="13" t="n">
        <x:f>ROUND(H25*I25,2)</x:f>
        <x:v>82.5</x:v>
      </x:c>
      <x:c r="L25" s="13"/>
      <x:c r="M25" s="13"/>
      <x:c r="N25" s="14"/>
      <x:c r="O25" s="14"/>
      <x:c r="P25" s="1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25" hidden="0" customWidth="1"/>
    <x:col min="3" max="3" width="19" hidden="0" customWidth="1"/>
    <x:col min="4" max="4" width="23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</x:cols>
  <x:sheetData>
    <x:row r="1" ht="38" customHeight="1">
      <x:c r="A1" s="5" t="str">
        <x:v>Код</x:v>
      </x:c>
      <x:c r="B1" s="5" t="str">
        <x:v>Продукт</x:v>
      </x:c>
      <x:c r="C1" s="5" t="str">
        <x:v>Цена EUR</x:v>
      </x:c>
      <x:c r="D1" s="5" t="str">
        <x:v>Категория</x:v>
      </x:c>
      <x:c r="E1" s="5"/>
      <x:c r="F1" s="5"/>
      <x:c r="G1" s="5" t="str">
        <x:v>Праг</x:v>
      </x:c>
      <x:c r="H1" s="5" t="str">
        <x:v>Ставка</x:v>
      </x:c>
      <x:c r="I1" s="5" t="str">
        <x:v>Категория</x:v>
      </x:c>
      <x:c r="J1" s="5"/>
      <x:c r="K1" s="5" t="str">
        <x:v>Статус</x:v>
      </x:c>
    </x:row>
    <x:row r="2" ht="26" customHeight="1">
      <x:c r="A2" s="2" t="str">
        <x:v>P001</x:v>
      </x:c>
      <x:c r="B2" s="2" t="str">
        <x:v>Тетрадка</x:v>
      </x:c>
      <x:c r="C2" s="8" t="n">
        <x:v>4.5</x:v>
      </x:c>
      <x:c r="D2" s="2" t="str">
        <x:v>Хартия</x:v>
      </x:c>
      <x:c r="E2" s="2"/>
      <x:c r="F2" s="2"/>
      <x:c r="G2" s="2" t="n">
        <x:v>0</x:v>
      </x:c>
      <x:c r="H2" s="15" t="n">
        <x:v>0</x:v>
      </x:c>
      <x:c r="I2" s="2" t="str">
        <x:v>Без отстъпка</x:v>
      </x:c>
      <x:c r="J2" s="2"/>
      <x:c r="K2" s="2" t="str">
        <x:v>Платена</x:v>
      </x:c>
    </x:row>
    <x:row r="3" ht="26" customHeight="1">
      <x:c r="A3" s="2" t="str">
        <x:v>P002</x:v>
      </x:c>
      <x:c r="B3" s="2" t="str">
        <x:v>Папка</x:v>
      </x:c>
      <x:c r="C3" s="8" t="n">
        <x:v>6</x:v>
      </x:c>
      <x:c r="D3" s="2" t="str">
        <x:v>Организация</x:v>
      </x:c>
      <x:c r="E3" s="2"/>
      <x:c r="F3" s="2"/>
      <x:c r="G3" s="2" t="n">
        <x:v>100</x:v>
      </x:c>
      <x:c r="H3" s="15" t="n">
        <x:v>0.05</x:v>
      </x:c>
      <x:c r="I3" s="2" t="str">
        <x:v>Стандартна</x:v>
      </x:c>
      <x:c r="J3" s="2"/>
      <x:c r="K3" s="2" t="str">
        <x:v>Нова</x:v>
      </x:c>
    </x:row>
    <x:row r="4" ht="26" customHeight="1">
      <x:c r="A4" s="2" t="str">
        <x:v>P003</x:v>
      </x:c>
      <x:c r="B4" s="2" t="str">
        <x:v>Химикал</x:v>
      </x:c>
      <x:c r="C4" s="8" t="n">
        <x:v>2.4</x:v>
      </x:c>
      <x:c r="D4" s="2" t="str">
        <x:v>Писане</x:v>
      </x:c>
      <x:c r="E4" s="2"/>
      <x:c r="F4" s="2"/>
      <x:c r="G4" s="2" t="n">
        <x:v>300</x:v>
      </x:c>
      <x:c r="H4" s="15" t="n">
        <x:v>0.07</x:v>
      </x:c>
      <x:c r="I4" s="2" t="str">
        <x:v>Повишена</x:v>
      </x:c>
      <x:c r="J4" s="2"/>
      <x:c r="K4" s="2" t="str">
        <x:v>Отказана</x:v>
      </x:c>
    </x:row>
    <x:row r="5" ht="26" customHeight="1">
      <x:c r="A5" s="2" t="str">
        <x:v>P004</x:v>
      </x:c>
      <x:c r="B5" s="2" t="str">
        <x:v>Принтерна хартия</x:v>
      </x:c>
      <x:c r="C5" s="8" t="n">
        <x:v>8.75</x:v>
      </x:c>
      <x:c r="D5" s="2" t="str">
        <x:v>Хартия</x:v>
      </x:c>
      <x:c r="E5" s="2"/>
      <x:c r="F5" s="2"/>
      <x:c r="G5" s="2" t="n">
        <x:v>500</x:v>
      </x:c>
      <x:c r="H5" s="15" t="n">
        <x:v>0.1</x:v>
      </x:c>
      <x:c r="I5" s="2" t="str">
        <x:v>Голяма</x:v>
      </x:c>
      <x:c r="J5" s="2"/>
      <x:c r="K5" s="2" t="str">
        <x:v>Изпратена</x:v>
      </x:c>
    </x:row>
    <x:row r="6" ht="26" customHeight="1">
      <x:c r="A6" s="2" t="str">
        <x:v>P005</x:v>
      </x:c>
      <x:c r="B6" s="2" t="str">
        <x:v>Маркер</x:v>
      </x:c>
      <x:c r="C6" s="8" t="n">
        <x:v>3.2</x:v>
      </x:c>
      <x:c r="D6" s="2" t="str">
        <x:v>Писане</x:v>
      </x:c>
      <x:c r="E6" s="2"/>
      <x:c r="F6" s="2"/>
      <x:c r="G6" s="2"/>
      <x:c r="H6" s="2"/>
      <x:c r="I6" s="2"/>
      <x:c r="J6" s="2"/>
      <x:c r="K6" s="2"/>
    </x:row>
    <x:row r="7" ht="26" customHeight="1">
      <x:c r="A7" s="2" t="str">
        <x:v>P006</x:v>
      </x:c>
      <x:c r="B7" s="2" t="str">
        <x:v>Класьор</x:v>
      </x:c>
      <x:c r="C7" s="8" t="n">
        <x:v>7.5</x:v>
      </x:c>
      <x:c r="D7" s="2" t="str">
        <x:v>Организация</x:v>
      </x:c>
      <x:c r="E7" s="2"/>
      <x:c r="F7" s="2"/>
      <x:c r="G7" s="2"/>
      <x:c r="H7" s="2"/>
      <x:c r="I7" s="2"/>
      <x:c r="J7" s="2"/>
      <x:c r="K7" s="2"/>
    </x:row>
    <x:row r="8" ht="26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95" hidden="0" customWidth="1"/>
    <x:col min="3" max="3" width="30" hidden="0" customWidth="1"/>
  </x:cols>
  <x:sheetData>
    <x:row r="1" ht="38" customHeight="1">
      <x:c r="A1" s="5" t="str">
        <x:v>Пример</x:v>
      </x:c>
      <x:c r="B1" s="5" t="str">
        <x:v>Формула като текст</x:v>
      </x:c>
      <x:c r="C1" s="5" t="str">
        <x:v>Резултат</x:v>
      </x:c>
    </x:row>
    <x:row r="2" ht="26" customHeight="1">
      <x:c r="A2" s="2" t="str">
        <x:v>Средна продажба</x:v>
      </x:c>
      <x:c r="B2" s="2" t="str">
        <x:v>=AVERAGE(Продажби!K2:K25)</x:v>
      </x:c>
      <x:c r="C2" s="2" t="n">
        <x:f>AVERAGE(Продажби!K2:K25)</x:f>
        <x:v>74.00208333333335</x:v>
      </x:c>
    </x:row>
    <x:row r="3" ht="26" customHeight="1">
      <x:c r="A3" s="2" t="str">
        <x:v>Брой записи</x:v>
      </x:c>
      <x:c r="B3" s="2" t="str">
        <x:v>=COUNTA(Продажби!A2:A25)</x:v>
      </x:c>
      <x:c r="C3" s="2" t="n">
        <x:f>COUNTA(Продажби!A2:A25)</x:f>
        <x:v>24</x:v>
      </x:c>
    </x:row>
  </x:sheetData>
  <x:pageMargins left="0.7" right="0.7" top="0.75" bottom="0.75" header="0.3" footer="0.3"/>
</x:worksheet>
</file>
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9f04d3f36942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Фактури" sheetId="1" r:id="Rb500bd36e294425f"/>
    <x:sheet xmlns:r="http://schemas.openxmlformats.org/officeDocument/2006/relationships" name="Смени" sheetId="2" r:id="R5d52d5c4d92c4d3c"/>
    <x:sheet xmlns:r="http://schemas.openxmlformats.org/officeDocument/2006/relationships" name="Примери" sheetId="3" r:id="R7649f12d8c654e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hh:mm"/>
    <x:numFmt numFmtId="202" formatCode="[h]:mm"/>
    <x:numFmt numFmtId="203" formatCode="0.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24e9a785094a0d" /><Relationship Type="http://schemas.openxmlformats.org/officeDocument/2006/relationships/theme" Target="/xl/theme/theme1.xml" Id="R7b56323da9a64326" /><Relationship Type="http://schemas.openxmlformats.org/officeDocument/2006/relationships/sharedStrings" Target="/xl/sharedStrings.xml" Id="Rd09ba1638fc24766" /><Relationship Type="http://schemas.openxmlformats.org/officeDocument/2006/relationships/worksheet" Target="/xl/worksheets/sheet1.xml" Id="Rb500bd36e294425f" /><Relationship Type="http://schemas.openxmlformats.org/officeDocument/2006/relationships/worksheet" Target="/xl/worksheets/sheet2.xml" Id="R5d52d5c4d92c4d3c" /><Relationship Type="http://schemas.openxmlformats.org/officeDocument/2006/relationships/worksheet" Target="/xl/worksheets/sheet3.xml" Id="R7649f12d8c654e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8" customHeight="1">
      <x:c r="A1" s="5" t="str">
        <x:v>Номер</x:v>
      </x:c>
      <x:c r="B1" s="5" t="str">
        <x:v>Издадена</x:v>
      </x:c>
      <x:c r="C1" s="5" t="str">
        <x:v>Срок дни</x:v>
      </x:c>
      <x:c r="D1" s="5" t="str">
        <x:v>Падеж</x:v>
      </x:c>
      <x:c r="E1" s="5" t="str">
        <x:v>Ден</x:v>
      </x:c>
      <x:c r="F1" s="5" t="str">
        <x:v>Месец</x:v>
      </x:c>
      <x:c r="G1" s="5" t="str">
        <x:v>Година</x:v>
      </x:c>
      <x:c r="H1" s="5" t="str">
        <x:v>Дни</x:v>
      </x:c>
      <x:c r="I1" s="5" t="str">
        <x:v>Оставащи дни</x:v>
      </x:c>
      <x:c r="J1" s="5" t="str">
        <x:v>Контролна дата</x:v>
      </x:c>
    </x:row>
    <x:row r="2" ht="26" customHeight="1">
      <x:c r="A2" s="2" t="str">
        <x:v>F-001</x:v>
      </x:c>
      <x:c r="B2" s="6" t="n">
        <x:v>46296</x:v>
      </x:c>
      <x:c r="C2" s="2" t="n">
        <x:v>7</x:v>
      </x:c>
      <x:c r="D2" s="7"/>
      <x:c r="E2" s="8"/>
      <x:c r="F2" s="8"/>
      <x:c r="G2" s="8"/>
      <x:c r="H2" s="8"/>
      <x:c r="I2" s="8"/>
      <x:c r="J2" s="6"/>
    </x:row>
    <x:row r="3" ht="26" customHeight="1">
      <x:c r="A3" s="2" t="str">
        <x:v>F-002</x:v>
      </x:c>
      <x:c r="B3" s="6" t="n">
        <x:v>46298</x:v>
      </x:c>
      <x:c r="C3" s="2" t="n">
        <x:v>10</x:v>
      </x:c>
      <x:c r="D3" s="7"/>
      <x:c r="E3" s="8"/>
      <x:c r="F3" s="8"/>
      <x:c r="G3" s="8"/>
      <x:c r="H3" s="8"/>
      <x:c r="I3" s="8"/>
      <x:c r="J3" s="2"/>
    </x:row>
    <x:row r="4" ht="26" customHeight="1">
      <x:c r="A4" s="2" t="str">
        <x:v>F-003</x:v>
      </x:c>
      <x:c r="B4" s="6" t="n">
        <x:v>46301</x:v>
      </x:c>
      <x:c r="C4" s="2" t="n">
        <x:v>14</x:v>
      </x:c>
      <x:c r="D4" s="7"/>
      <x:c r="E4" s="8"/>
      <x:c r="F4" s="8"/>
      <x:c r="G4" s="8"/>
      <x:c r="H4" s="8"/>
      <x:c r="I4" s="8"/>
      <x:c r="J4" s="2"/>
    </x:row>
    <x:row r="5" ht="26" customHeight="1">
      <x:c r="A5" s="2" t="str">
        <x:v>F-004</x:v>
      </x:c>
      <x:c r="B5" s="6" t="n">
        <x:v>46304</x:v>
      </x:c>
      <x:c r="C5" s="2" t="n">
        <x:v>21</x:v>
      </x:c>
      <x:c r="D5" s="7"/>
      <x:c r="E5" s="8"/>
      <x:c r="F5" s="8"/>
      <x:c r="G5" s="8"/>
      <x:c r="H5" s="8"/>
      <x:c r="I5" s="8"/>
      <x:c r="J5" s="2"/>
    </x:row>
    <x:row r="6" ht="26" customHeight="1">
      <x:c r="A6" s="2" t="str">
        <x:v>F-005</x:v>
      </x:c>
      <x:c r="B6" s="6" t="n">
        <x:v>46307</x:v>
      </x:c>
      <x:c r="C6" s="2" t="n">
        <x:v>30</x:v>
      </x:c>
      <x:c r="D6" s="7"/>
      <x:c r="E6" s="8"/>
      <x:c r="F6" s="8"/>
      <x:c r="G6" s="8"/>
      <x:c r="H6" s="8"/>
      <x:c r="I6" s="8"/>
      <x:c r="J6" s="2"/>
    </x:row>
    <x:row r="7" ht="26" customHeight="1">
      <x:c r="A7" s="2" t="str">
        <x:v>F-006</x:v>
      </x:c>
      <x:c r="B7" s="6" t="n">
        <x:v>46310</x:v>
      </x:c>
      <x:c r="C7" s="2" t="n">
        <x:v>7</x:v>
      </x:c>
      <x:c r="D7" s="7"/>
      <x:c r="E7" s="8"/>
      <x:c r="F7" s="8"/>
      <x:c r="G7" s="8"/>
      <x:c r="H7" s="8"/>
      <x:c r="I7" s="8"/>
      <x:c r="J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4" hidden="0" customWidth="1"/>
    <x:col min="5" max="5" width="24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8" customHeight="1">
      <x:c r="A1" s="5" t="str">
        <x:v>Служител</x:v>
      </x:c>
      <x:c r="B1" s="5" t="str">
        <x:v>Начало</x:v>
      </x:c>
      <x:c r="C1" s="5" t="str">
        <x:v>Край</x:v>
      </x:c>
      <x:c r="D1" s="5" t="str">
        <x:v>Продължителност</x:v>
      </x:c>
      <x:c r="E1" s="5" t="str">
        <x:v>Десетични часове</x:v>
      </x:c>
      <x:c r="F1" s="5" t="str">
        <x:v>Час</x:v>
      </x:c>
      <x:c r="G1" s="5" t="str">
        <x:v>Минута</x:v>
      </x:c>
      <x:c r="H1" s="5"/>
      <x:c r="I1" s="5"/>
    </x:row>
    <x:row r="2" ht="26" customHeight="1">
      <x:c r="A2" s="2" t="str">
        <x:v>Иван</x:v>
      </x:c>
      <x:c r="B2" s="9" t="n">
        <x:v>0.3541666666666667</x:v>
      </x:c>
      <x:c r="C2" s="9" t="n">
        <x:v>0.7083333333333334</x:v>
      </x:c>
      <x:c r="D2" s="12"/>
      <x:c r="E2" s="13"/>
      <x:c r="F2" s="8"/>
      <x:c r="G2" s="8"/>
      <x:c r="H2" s="2"/>
      <x:c r="I2" s="2"/>
    </x:row>
    <x:row r="3" ht="26" customHeight="1">
      <x:c r="A3" s="2" t="str">
        <x:v>Мария</x:v>
      </x:c>
      <x:c r="B3" s="9" t="n">
        <x:v>0.375</x:v>
      </x:c>
      <x:c r="C3" s="9" t="n">
        <x:v>0.6979166666666666</x:v>
      </x:c>
      <x:c r="D3" s="12"/>
      <x:c r="E3" s="13"/>
      <x:c r="F3" s="8"/>
      <x:c r="G3" s="8"/>
      <x:c r="H3" s="2"/>
      <x:c r="I3" s="2"/>
    </x:row>
    <x:row r="4" ht="26" customHeight="1">
      <x:c r="A4" s="2" t="str">
        <x:v>Галина</x:v>
      </x:c>
      <x:c r="B4" s="9" t="n">
        <x:v>0.9166666666666666</x:v>
      </x:c>
      <x:c r="C4" s="9" t="n">
        <x:v>0.25</x:v>
      </x:c>
      <x:c r="D4" s="12"/>
      <x:c r="E4" s="13"/>
      <x:c r="F4" s="8"/>
      <x:c r="G4" s="8"/>
      <x:c r="H4" s="2"/>
      <x:c r="I4" s="2"/>
    </x:row>
    <x:row r="5" ht="26" customHeight="1">
      <x:c r="A5" s="2" t="str">
        <x:v>Виктор</x:v>
      </x:c>
      <x:c r="B5" s="9" t="n">
        <x:v>0.34375</x:v>
      </x:c>
      <x:c r="C5" s="9" t="n">
        <x:v>0.6666666666666666</x:v>
      </x:c>
      <x:c r="D5" s="12"/>
      <x:c r="E5" s="13"/>
      <x:c r="F5" s="8"/>
      <x:c r="G5" s="8"/>
      <x:c r="H5" s="2"/>
      <x:c r="I5" s="2"/>
    </x:row>
    <x:row r="6" ht="26" customHeight="1">
      <x:c r="A6" s="2" t="str">
        <x:v>Елена</x:v>
      </x:c>
      <x:c r="B6" s="9" t="n">
        <x:v>0.4166666666666667</x:v>
      </x:c>
      <x:c r="C6" s="9" t="n">
        <x:v>0.75</x:v>
      </x:c>
      <x:c r="D6" s="12"/>
      <x:c r="E6" s="13"/>
      <x:c r="F6" s="8"/>
      <x:c r="G6" s="8"/>
      <x:c r="H6" s="2"/>
      <x:c r="I6" s="2"/>
    </x:row>
    <x:row r="7" ht="26" customHeight="1">
      <x:c r="A7" s="2" t="str">
        <x:v>Николай</x:v>
      </x:c>
      <x:c r="B7" s="9" t="n">
        <x:v>0.9791666666666666</x:v>
      </x:c>
      <x:c r="C7" s="9" t="n">
        <x:v>0.2916666666666667</x:v>
      </x:c>
      <x:c r="D7" s="12"/>
      <x:c r="E7" s="13"/>
      <x:c r="F7" s="8"/>
      <x:c r="G7" s="8"/>
      <x:c r="H7" s="2"/>
      <x:c r="I7" s="2"/>
    </x:row>
    <x:row r="8" ht="26" customHeight="1">
      <x:c r="A8" s="2" t="str">
        <x:v>Общо</x:v>
      </x:c>
      <x:c r="B8" s="2"/>
      <x:c r="C8" s="2"/>
      <x:c r="D8" s="12"/>
      <x:c r="E8" s="13"/>
      <x:c r="F8" s="8"/>
      <x:c r="G8" s="8"/>
      <x:c r="H8" s="2"/>
      <x:c r="I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Работни дни</x:v>
      </x:c>
      <x:c r="B2" s="2" t="str">
        <x:v>=NETWORKDAYS(DATE(2026,10,6),DATE(2026,10,20))</x:v>
      </x:c>
      <x:c r="C2" s="2" t="n">
        <x:f>NETWORKDAYS(DATE(2026,10,6),DATE(2026,10,20))</x:f>
        <x:v>11</x:v>
      </x:c>
    </x:row>
    <x:row r="3" ht="26" customHeight="1">
      <x:c r="A3" s="2" t="str">
        <x:v>Десетични часове</x:v>
      </x:c>
      <x:c r="B3" s="2" t="str">
        <x:v>=TIME(7,45,0)*24</x:v>
      </x:c>
      <x:c r="C3" s="2" t="n">
        <x:f>TIME(7,45,0)*24</x:f>
        <x:v>7.75</x:v>
      </x:c>
    </x:row>
  </x:sheetData>
  <x:pageMargins left="0.7" right="0.7" top="0.75" bottom="0.75" header="0.3" footer="0.3"/>
</x:worksheet>
</file>
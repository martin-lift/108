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имери" sheetId="1" r:id="rId1"/>
    <sheet name="Фактури" sheetId="2" r:id="rId2"/>
    <sheet name="Смени" sheetId="3" r:id="rId3"/>
    <sheet name="Проверка" sheetId="4" r:id="rId4"/>
  </sheets>
  <definedNames>
    <definedName name="_xlnm._FilterDatabase" localSheetId="0" hidden="1">Примери!$A$1:$D$18</definedName>
    <definedName name="_xlnm.Print_Titles" localSheetId="0">Примери!$1:$1</definedName>
    <definedName name="_xlnm.Print_Titles" localSheetId="3">Проверка!$1:$1</definedName>
    <definedName name="_xlnm.Print_Titles" localSheetId="2">Смени!$1:$1</definedName>
    <definedName name="_xlnm.Print_Titles" localSheetId="1">Фактури!$1:$1</definedName>
  </definedNames>
  <calcPr calcId="124519" fullCalcOnLoad="1"/>
</workbook>
</file>

<file path=xl/sharedStrings.xml><?xml version="1.0" encoding="utf-8"?>
<sst xmlns="http://schemas.openxmlformats.org/spreadsheetml/2006/main" count="93" uniqueCount="90">
  <si>
    <t>Функция / действие</t>
  </si>
  <si>
    <t>Формула (текст)</t>
  </si>
  <si>
    <t>Резултат</t>
  </si>
  <si>
    <t>Обяснение</t>
  </si>
  <si>
    <t>TODAY</t>
  </si>
  <si>
    <t>=TODAY()</t>
  </si>
  <si>
    <t>Текущата дата; актуализира се при преизчисляване.</t>
  </si>
  <si>
    <t>NOW</t>
  </si>
  <si>
    <t>=NOW()</t>
  </si>
  <si>
    <t>Текущата дата и час; не е непрекъснат часовник.</t>
  </si>
  <si>
    <t>DATE</t>
  </si>
  <si>
    <t>=DATE(2026,10,6)</t>
  </si>
  <si>
    <t>Създава дата от година, месец и ден.</t>
  </si>
  <si>
    <t>DAY</t>
  </si>
  <si>
    <t>=DAY(DATE(2026,10,6))</t>
  </si>
  <si>
    <t>Ден от месеца.</t>
  </si>
  <si>
    <t>MONTH</t>
  </si>
  <si>
    <t>=MONTH(DATE(2026,10,6))</t>
  </si>
  <si>
    <t>Номер на месеца.</t>
  </si>
  <si>
    <t>YEAR</t>
  </si>
  <si>
    <t>=YEAR(DATE(2026,10,6))</t>
  </si>
  <si>
    <t>Година.</t>
  </si>
  <si>
    <t>WEEKDAY</t>
  </si>
  <si>
    <t>=WEEKDAY(DATE(2026,10,6),2)</t>
  </si>
  <si>
    <t>Понеделник=1, вторник=2, …, неделя=7.</t>
  </si>
  <si>
    <t>TIME</t>
  </si>
  <si>
    <t>=TIME(9,30,0)</t>
  </si>
  <si>
    <t>Създава час от часове, минути и секунди.</t>
  </si>
  <si>
    <t>HOUR</t>
  </si>
  <si>
    <t>=HOUR(TIME(9,30,15))</t>
  </si>
  <si>
    <t>Часовата част.</t>
  </si>
  <si>
    <t>MINUTE</t>
  </si>
  <si>
    <t>=MINUTE(TIME(9,30,15))</t>
  </si>
  <si>
    <t>Минутната част.</t>
  </si>
  <si>
    <t>SECOND</t>
  </si>
  <si>
    <t>=SECOND(TIME(9,30,15))</t>
  </si>
  <si>
    <t>Секундната част.</t>
  </si>
  <si>
    <t>Срок след 14 дни</t>
  </si>
  <si>
    <t>=DATE(2026,10,6)+14</t>
  </si>
  <si>
    <t>Добавя календарни дни.</t>
  </si>
  <si>
    <t>Разлика между дати</t>
  </si>
  <si>
    <t>=DATE(2026,10,20)-DATE(2026,10,6)</t>
  </si>
  <si>
    <t>Брой изминали дни, без включване на началната дата.</t>
  </si>
  <si>
    <t>NETWORKDAYS</t>
  </si>
  <si>
    <t>=NETWORKDAYS(DATE(2026,10,6),DATE(2026,10,20))</t>
  </si>
  <si>
    <t>Работни дни, включително началната и крайната дата; без събота и неделя. Без списък с празници.</t>
  </si>
  <si>
    <t>Продължителност</t>
  </si>
  <si>
    <t>=TIME(17,0,0)-TIME(8,30,0)</t>
  </si>
  <si>
    <t>Продължителност, показана като [h]:mm.</t>
  </si>
  <si>
    <t>Часове като число</t>
  </si>
  <si>
    <t>=(TIME(17,0,0)-TIME(8,30,0))*24</t>
  </si>
  <si>
    <t>Дял от деня × 24 = брой часове.</t>
  </si>
  <si>
    <t>Нощна смяна</t>
  </si>
  <si>
    <t>=MOD(TIME(6,0,0)-TIME(22,0,0),1)</t>
  </si>
  <si>
    <t>Преминава през полунощ; подходящо за смени под 24 часа.</t>
  </si>
  <si>
    <t>Фактура</t>
  </si>
  <si>
    <t>Дата на издаване</t>
  </si>
  <si>
    <t>Срок (дни)</t>
  </si>
  <si>
    <t>Падеж</t>
  </si>
  <si>
    <t>Ден</t>
  </si>
  <si>
    <t>Месец</t>
  </si>
  <si>
    <t>Година</t>
  </si>
  <si>
    <t>Работни дни</t>
  </si>
  <si>
    <t>F-001</t>
  </si>
  <si>
    <t>F-002</t>
  </si>
  <si>
    <t>F-003</t>
  </si>
  <si>
    <t>F-004</t>
  </si>
  <si>
    <t>F-005</t>
  </si>
  <si>
    <t>Попълнете D2:H6 с формули. Падеж = дата + срок. Работни дни: включете и двата края.</t>
  </si>
  <si>
    <t>Служител</t>
  </si>
  <si>
    <t>Начало</t>
  </si>
  <si>
    <t>Край</t>
  </si>
  <si>
    <t>Часове (число)</t>
  </si>
  <si>
    <t>Анна</t>
  </si>
  <si>
    <t>Борис</t>
  </si>
  <si>
    <t>Виктор</t>
  </si>
  <si>
    <t>Галина</t>
  </si>
  <si>
    <t>Попълнете D2:E5. Използвайте MOD за смени под 24 часа. Не се приспада почивка.</t>
  </si>
  <si>
    <t>Задача</t>
  </si>
  <si>
    <t>Очакван резултат</t>
  </si>
  <si>
    <t>Падежи на фактурите</t>
  </si>
  <si>
    <t>15.10.2026; 15.10.2026; 20.10.2026; 19.10.2026; 31.10.2026</t>
  </si>
  <si>
    <t>11; 9; 11; 6; 11 (без списък с официални празници)</t>
  </si>
  <si>
    <t>Продължителност на смените</t>
  </si>
  <si>
    <t>8:30; 8:30; 7:45; 8:00</t>
  </si>
  <si>
    <t>8,50; 8,50; 7,75; 8,00</t>
  </si>
  <si>
    <t>Цветни клетки</t>
  </si>
  <si>
    <t>Сините клетки съдържат входни дати и часове.</t>
  </si>
  <si>
    <t>Разделители</t>
  </si>
  <si>
    <t>Формулите във файла са готови за Excel. При ръчно въвеждане може да е нужен ; вместо ,.</t>
  </si>
</sst>
</file>

<file path=xl/styles.xml><?xml version="1.0" encoding="utf-8"?>
<styleSheet xmlns="http://schemas.openxmlformats.org/spreadsheetml/2006/main">
  <numFmts count="5">
    <numFmt numFmtId="164" formatCode="dd.mm.yyyy"/>
    <numFmt numFmtId="165" formatCode="dd.mm.yyyy hh:mm"/>
    <numFmt numFmtId="166" formatCode="hh:mm"/>
    <numFmt numFmtId="167" formatCode="[h]:mm"/>
    <numFmt numFmtId="168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B73"/>
        <bgColor indexed="64"/>
      </patternFill>
    </fill>
    <fill>
      <patternFill patternType="solid">
        <fgColor rgb="FFEAF3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164" fontId="0" fillId="3" borderId="0" xfId="0" applyNumberFormat="1" applyFill="1"/>
    <xf numFmtId="165" fontId="0" fillId="0" borderId="0" xfId="0" applyNumberFormat="1"/>
    <xf numFmtId="166" fontId="0" fillId="3" borderId="0" xfId="0" applyNumberFormat="1" applyFill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9.7109375" customWidth="1"/>
    <col min="3" max="3" width="25.7109375" customWidth="1"/>
    <col min="4" max="4" width="65.7109375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f>TODAY()</f>
        <v>46301</v>
      </c>
      <c r="D2" t="s">
        <v>6</v>
      </c>
    </row>
    <row r="3" spans="1:4">
      <c r="A3" t="s">
        <v>7</v>
      </c>
      <c r="B3" t="s">
        <v>8</v>
      </c>
      <c r="C3" s="3">
        <f>NOW()</f>
        <v>46301.395833333336</v>
      </c>
      <c r="D3" t="s">
        <v>9</v>
      </c>
    </row>
    <row r="4" spans="1:4">
      <c r="A4" t="s">
        <v>10</v>
      </c>
      <c r="B4" t="s">
        <v>11</v>
      </c>
      <c r="C4" s="2">
        <f>DATE(2026,10,6)</f>
        <v>46301</v>
      </c>
      <c r="D4" t="s">
        <v>12</v>
      </c>
    </row>
    <row r="5" spans="1:4">
      <c r="A5" t="s">
        <v>13</v>
      </c>
      <c r="B5" t="s">
        <v>14</v>
      </c>
      <c r="C5">
        <f>DAY(DATE(2026,10,6))</f>
        <v>6</v>
      </c>
      <c r="D5" t="s">
        <v>15</v>
      </c>
    </row>
    <row r="6" spans="1:4">
      <c r="A6" t="s">
        <v>16</v>
      </c>
      <c r="B6" t="s">
        <v>17</v>
      </c>
      <c r="C6">
        <f>MONTH(DATE(2026,10,6))</f>
        <v>10</v>
      </c>
      <c r="D6" t="s">
        <v>18</v>
      </c>
    </row>
    <row r="7" spans="1:4">
      <c r="A7" t="s">
        <v>19</v>
      </c>
      <c r="B7" t="s">
        <v>20</v>
      </c>
      <c r="C7">
        <f>YEAR(DATE(2026,10,6))</f>
        <v>2026</v>
      </c>
      <c r="D7" t="s">
        <v>21</v>
      </c>
    </row>
    <row r="8" spans="1:4">
      <c r="A8" t="s">
        <v>22</v>
      </c>
      <c r="B8" t="s">
        <v>23</v>
      </c>
      <c r="C8">
        <f>WEEKDAY(DATE(2026,10,6),2)</f>
        <v>2</v>
      </c>
      <c r="D8" t="s">
        <v>24</v>
      </c>
    </row>
    <row r="9" spans="1:4">
      <c r="A9" t="s">
        <v>25</v>
      </c>
      <c r="B9" t="s">
        <v>26</v>
      </c>
      <c r="C9" s="4">
        <f>TIME(9,30,0)</f>
        <v>0.3958333333333333</v>
      </c>
      <c r="D9" t="s">
        <v>27</v>
      </c>
    </row>
    <row r="10" spans="1:4">
      <c r="A10" t="s">
        <v>28</v>
      </c>
      <c r="B10" t="s">
        <v>29</v>
      </c>
      <c r="C10">
        <f>HOUR(TIME(9,30,15))</f>
        <v>9</v>
      </c>
      <c r="D10" t="s">
        <v>30</v>
      </c>
    </row>
    <row r="11" spans="1:4">
      <c r="A11" t="s">
        <v>31</v>
      </c>
      <c r="B11" t="s">
        <v>32</v>
      </c>
      <c r="C11">
        <f>MINUTE(TIME(9,30,15))</f>
        <v>30</v>
      </c>
      <c r="D11" t="s">
        <v>33</v>
      </c>
    </row>
    <row r="12" spans="1:4">
      <c r="A12" t="s">
        <v>34</v>
      </c>
      <c r="B12" t="s">
        <v>35</v>
      </c>
      <c r="C12">
        <f>SECOND(TIME(9,30,15))</f>
        <v>15</v>
      </c>
      <c r="D12" t="s">
        <v>36</v>
      </c>
    </row>
    <row r="13" spans="1:4">
      <c r="A13" t="s">
        <v>37</v>
      </c>
      <c r="B13" t="s">
        <v>38</v>
      </c>
      <c r="C13" s="2">
        <f>DATE(2026,10,6)+14</f>
        <v>46315</v>
      </c>
      <c r="D13" t="s">
        <v>39</v>
      </c>
    </row>
    <row r="14" spans="1:4">
      <c r="A14" t="s">
        <v>40</v>
      </c>
      <c r="B14" t="s">
        <v>41</v>
      </c>
      <c r="C14">
        <f>DATE(2026,10,20)-DATE(2026,10,6)</f>
        <v>14</v>
      </c>
      <c r="D14" t="s">
        <v>42</v>
      </c>
    </row>
    <row r="15" spans="1:4">
      <c r="A15" t="s">
        <v>43</v>
      </c>
      <c r="B15" t="s">
        <v>44</v>
      </c>
      <c r="C15">
        <f>NETWORKDAYS(DATE(2026,10,6),DATE(2026,10,20))</f>
        <v>11</v>
      </c>
      <c r="D15" t="s">
        <v>45</v>
      </c>
    </row>
    <row r="16" spans="1:4">
      <c r="A16" t="s">
        <v>46</v>
      </c>
      <c r="B16" t="s">
        <v>47</v>
      </c>
      <c r="C16" s="5">
        <f>TIME(17,0,0)-TIME(8,30,0)</f>
        <v>0.3541666666666667</v>
      </c>
      <c r="D16" t="s">
        <v>48</v>
      </c>
    </row>
    <row r="17" spans="1:4">
      <c r="A17" t="s">
        <v>49</v>
      </c>
      <c r="B17" t="s">
        <v>50</v>
      </c>
      <c r="C17" s="6">
        <f>(TIME(17,0,0)-TIME(8,30,0))*24</f>
        <v>8.5</v>
      </c>
      <c r="D17" t="s">
        <v>51</v>
      </c>
    </row>
    <row r="18" spans="1:4">
      <c r="A18" t="s">
        <v>52</v>
      </c>
      <c r="B18" t="s">
        <v>53</v>
      </c>
      <c r="C18" s="5">
        <f>MOD(TIME(6,0,0)-TIME(22,0,0),1)</f>
        <v>0.3333333333333333</v>
      </c>
      <c r="D18" t="s">
        <v>54</v>
      </c>
    </row>
  </sheetData>
  <autoFilter ref="A1:D18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3.7109375" customWidth="1"/>
    <col min="3" max="3" width="17.7109375" customWidth="1"/>
    <col min="4" max="4" width="23.7109375" customWidth="1"/>
    <col min="5" max="7" width="12.7109375" customWidth="1"/>
    <col min="8" max="8" width="22.7109375" customWidth="1"/>
  </cols>
  <sheetData>
    <row r="1" spans="1:8" ht="34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>
      <c r="A2" t="s">
        <v>63</v>
      </c>
      <c r="B2" s="2">
        <v>46296</v>
      </c>
      <c r="C2">
        <v>14</v>
      </c>
    </row>
    <row r="3" spans="1:8">
      <c r="A3" t="s">
        <v>64</v>
      </c>
      <c r="B3" s="2">
        <v>46300</v>
      </c>
      <c r="C3">
        <v>10</v>
      </c>
    </row>
    <row r="4" spans="1:8">
      <c r="A4" t="s">
        <v>65</v>
      </c>
      <c r="B4" s="2">
        <v>46301</v>
      </c>
      <c r="C4">
        <v>14</v>
      </c>
    </row>
    <row r="5" spans="1:8">
      <c r="A5" t="s">
        <v>66</v>
      </c>
      <c r="B5" s="2">
        <v>46307</v>
      </c>
      <c r="C5">
        <v>7</v>
      </c>
    </row>
    <row r="6" spans="1:8">
      <c r="A6" t="s">
        <v>67</v>
      </c>
      <c r="B6" s="2">
        <v>46311</v>
      </c>
      <c r="C6">
        <v>15</v>
      </c>
    </row>
    <row r="8" spans="1:8">
      <c r="A8" t="s">
        <v>68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25.7109375" style="5" customWidth="1"/>
    <col min="5" max="5" width="24.7109375" style="6" customWidth="1"/>
  </cols>
  <sheetData>
    <row r="1" spans="1:5" ht="34" customHeight="1">
      <c r="A1" s="1" t="s">
        <v>69</v>
      </c>
      <c r="B1" s="1" t="s">
        <v>70</v>
      </c>
      <c r="C1" s="1" t="s">
        <v>71</v>
      </c>
      <c r="D1" s="1" t="s">
        <v>46</v>
      </c>
      <c r="E1" s="1" t="s">
        <v>72</v>
      </c>
    </row>
    <row r="2" spans="1:5">
      <c r="A2" t="s">
        <v>73</v>
      </c>
      <c r="B2" s="4">
        <v>0.3541666666666667</v>
      </c>
      <c r="C2" s="4">
        <v>0.7083333333333334</v>
      </c>
    </row>
    <row r="3" spans="1:5">
      <c r="A3" t="s">
        <v>74</v>
      </c>
      <c r="B3" s="4">
        <v>0.375</v>
      </c>
      <c r="C3" s="4">
        <v>0.7291666666666666</v>
      </c>
    </row>
    <row r="4" spans="1:5">
      <c r="A4" t="s">
        <v>75</v>
      </c>
      <c r="B4" s="4">
        <v>0.4270833333333333</v>
      </c>
      <c r="C4" s="4">
        <v>0.75</v>
      </c>
    </row>
    <row r="5" spans="1:5">
      <c r="A5" t="s">
        <v>76</v>
      </c>
      <c r="B5" s="4">
        <v>0.9166666666666666</v>
      </c>
      <c r="C5" s="4">
        <v>0.25</v>
      </c>
    </row>
    <row r="7" spans="1:5">
      <c r="A7" t="s">
        <v>77</v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65.7109375" customWidth="1"/>
  </cols>
  <sheetData>
    <row r="1" spans="1:2" ht="34" customHeight="1">
      <c r="A1" s="1" t="s">
        <v>78</v>
      </c>
      <c r="B1" s="1" t="s">
        <v>79</v>
      </c>
    </row>
    <row r="2" spans="1:2">
      <c r="A2" t="s">
        <v>80</v>
      </c>
      <c r="B2" t="s">
        <v>81</v>
      </c>
    </row>
    <row r="3" spans="1:2">
      <c r="A3" t="s">
        <v>62</v>
      </c>
      <c r="B3" t="s">
        <v>82</v>
      </c>
    </row>
    <row r="4" spans="1:2">
      <c r="A4" t="s">
        <v>83</v>
      </c>
      <c r="B4" t="s">
        <v>84</v>
      </c>
    </row>
    <row r="5" spans="1:2">
      <c r="A5" t="s">
        <v>49</v>
      </c>
      <c r="B5" t="s">
        <v>85</v>
      </c>
    </row>
    <row r="6" spans="1:2">
      <c r="A6" t="s">
        <v>86</v>
      </c>
      <c r="B6" t="s">
        <v>87</v>
      </c>
    </row>
    <row r="7" spans="1:2">
      <c r="A7" t="s">
        <v>88</v>
      </c>
      <c r="B7" t="s">
        <v>89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Примери</vt:lpstr>
      <vt:lpstr>Фактури</vt:lpstr>
      <vt:lpstr>Смени</vt:lpstr>
      <vt:lpstr>Проверка</vt:lpstr>
      <vt:lpstr>Примери!Print_Titles</vt:lpstr>
      <vt:lpstr>Проверка!Print_Titles</vt:lpstr>
      <vt:lpstr>Смени!Print_Titles</vt:lpstr>
      <vt:lpstr>Фактури!Print_Titles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2026-10-06T06:30:34Z</dcterms:created>
  <dcterms:modified xsi:type="dcterms:W3CDTF">2026-10-06T06:30:34Z</dcterms:modified>
</cp:coreProperties>
</file>